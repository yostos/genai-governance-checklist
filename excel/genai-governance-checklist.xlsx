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チェックリスト" sheetId="1" state="visible" r:id="rId1"/>
    <sheet name="サマリー" sheetId="2" state="visible" r:id="rId2"/>
  </sheets>
  <definedNames>
    <definedName name="_xlnm._FilterDatabase" localSheetId="0" hidden="1">'チェックリスト'!$A$3:$Q$123</definedName>
    <definedName name="_xlnm.Print_Titles" localSheetId="0">'チェックリスト'!$1:$3,'チェックリスト'!$A:$B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sz val="10"/>
    </font>
    <font>
      <name val="メイリオ"/>
      <b val="1"/>
      <color rgb="00FFFFFF"/>
      <sz val="11"/>
    </font>
    <font>
      <name val="メイリオ"/>
      <b val="1"/>
      <color rgb="00FFFFFF"/>
      <sz val="14"/>
    </font>
    <font>
      <name val="メイリオ"/>
      <b val="1"/>
      <color rgb="00FFFFFF"/>
      <sz val="10"/>
    </font>
    <font>
      <name val="メイリオ"/>
      <b val="1"/>
      <sz val="10"/>
    </font>
    <font>
      <name val="メイリオ"/>
      <b val="1"/>
      <sz val="12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  <fill>
      <patternFill patternType="solid">
        <fgColor rgb="00E2D9F3"/>
        <bgColor rgb="00E2D9F3"/>
      </patternFill>
    </fill>
    <fill>
      <patternFill patternType="solid">
        <fgColor rgb="00FCE4D6"/>
        <bgColor rgb="00FCE4D6"/>
      </patternFill>
    </fill>
    <fill>
      <patternFill patternType="solid">
        <fgColor rgb="00D6DCE4"/>
        <bgColor rgb="00D6DCE4"/>
      </patternFill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applyProtection="1" pivotButton="0" quotePrefix="0" xfId="0">
      <alignment vertical="center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2" fillId="0" borderId="0" applyProtection="1" pivotButton="0" quotePrefix="0" xfId="0">
      <protection locked="0" hidden="0"/>
    </xf>
    <xf numFmtId="0" fontId="2" fillId="4" borderId="0" pivotButton="0" quotePrefix="0" xfId="0"/>
    <xf numFmtId="0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vertical="top" wrapText="1"/>
      <protection locked="0" hidden="0"/>
    </xf>
    <xf numFmtId="0" fontId="2" fillId="5" borderId="0" pivotButton="0" quotePrefix="0" xfId="0"/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center"/>
    </xf>
    <xf numFmtId="0" fontId="2" fillId="6" borderId="0" pivotButton="0" quotePrefix="0" xfId="0"/>
    <xf numFmtId="0" fontId="2" fillId="6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center"/>
    </xf>
    <xf numFmtId="0" fontId="2" fillId="7" borderId="0" pivotButton="0" quotePrefix="0" xfId="0"/>
    <xf numFmtId="0" fontId="2" fillId="7" borderId="0" applyAlignment="1" pivotButton="0" quotePrefix="0" xfId="0">
      <alignment vertical="top" wrapText="1"/>
    </xf>
    <xf numFmtId="0" fontId="2" fillId="7" borderId="0" applyAlignment="1" pivotButton="0" quotePrefix="0" xfId="0">
      <alignment horizontal="center" vertical="center"/>
    </xf>
    <xf numFmtId="0" fontId="2" fillId="8" borderId="0" pivotButton="0" quotePrefix="0" xfId="0"/>
    <xf numFmtId="0" fontId="2" fillId="8" borderId="0" applyAlignment="1" pivotButton="0" quotePrefix="0" xfId="0">
      <alignment vertical="top" wrapText="1"/>
    </xf>
    <xf numFmtId="0" fontId="2" fillId="8" borderId="0" applyAlignment="1" pivotButton="0" quotePrefix="0" xfId="0">
      <alignment horizontal="center" vertical="center"/>
    </xf>
    <xf numFmtId="0" fontId="2" fillId="9" borderId="0" pivotButton="0" quotePrefix="0" xfId="0"/>
    <xf numFmtId="0" fontId="2" fillId="9" borderId="0" applyAlignment="1" pivotButton="0" quotePrefix="0" xfId="0">
      <alignment vertical="top" wrapText="1"/>
    </xf>
    <xf numFmtId="0" fontId="2" fillId="9" borderId="0" applyAlignment="1" pivotButton="0" quotePrefix="0" xfId="0">
      <alignment horizontal="center" vertical="center"/>
    </xf>
    <xf numFmtId="0" fontId="2" fillId="10" borderId="0" pivotButton="0" quotePrefix="0" xfId="0"/>
    <xf numFmtId="0" fontId="2" fillId="10" borderId="0" applyAlignment="1" pivotButton="0" quotePrefix="0" xfId="0">
      <alignment vertical="top" wrapText="1"/>
    </xf>
    <xf numFmtId="0" fontId="2" fillId="1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dxfs count="11">
    <dxf>
      <font>
        <name val="メイリオ"/>
        <color rgb="00006100"/>
      </font>
      <fill>
        <patternFill patternType="solid">
          <fgColor rgb="00C6EFCE"/>
          <bgColor rgb="00C6EFCE"/>
        </patternFill>
      </fill>
    </dxf>
    <dxf>
      <font>
        <name val="メイリオ"/>
        <color rgb="009C6500"/>
      </font>
      <fill>
        <patternFill patternType="solid">
          <fgColor rgb="00FFEB9C"/>
          <bgColor rgb="00FFEB9C"/>
        </patternFill>
      </fill>
    </dxf>
    <dxf>
      <font>
        <name val="メイリオ"/>
        <color rgb="009C0006"/>
      </font>
      <fill>
        <patternFill patternType="solid">
          <fgColor rgb="00FFC7CE"/>
          <bgColor rgb="00FFC7CE"/>
        </patternFill>
      </fill>
    </dxf>
    <dxf>
      <font>
        <name val="メイリオ"/>
        <i val="1"/>
        <color rgb="00808080"/>
      </font>
      <fill>
        <patternFill patternType="solid">
          <fgColor rgb="00D9D9D9"/>
          <bgColor rgb="00D9D9D9"/>
        </patternFill>
      </fill>
    </dxf>
    <dxf>
      <font>
        <name val="メイリオ"/>
        <b val="1"/>
        <color rgb="00843C0C"/>
      </font>
      <fill>
        <patternFill patternType="solid">
          <fgColor rgb="00F4B084"/>
          <bgColor rgb="00F4B084"/>
        </patternFill>
      </fill>
    </dxf>
    <dxf>
      <font>
        <name val="メイリオ"/>
        <color rgb="001F4E79"/>
      </font>
      <fill>
        <patternFill patternType="solid">
          <fgColor rgb="00BDD7EE"/>
          <bgColor rgb="00BDD7EE"/>
        </patternFill>
      </fill>
    </dxf>
    <dxf>
      <font>
        <name val="メイリオ"/>
        <color rgb="00375623"/>
      </font>
      <fill>
        <patternFill patternType="solid">
          <fgColor rgb="00E2EFDA"/>
          <bgColor rgb="00E2EFDA"/>
        </patternFill>
      </fill>
    </dxf>
    <dxf>
      <fill>
        <patternFill patternType="solid">
          <fgColor rgb="00D6E4F0"/>
          <bgColor rgb="00D6E4F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  <col width="28" customWidth="1" min="4" max="4"/>
    <col width="6" customWidth="1" min="5" max="5"/>
    <col width="24" customWidth="1" min="6" max="6"/>
    <col width="14" customWidth="1" min="7" max="7"/>
    <col width="60" customWidth="1" min="8" max="8"/>
    <col width="6" customWidth="1" min="9" max="9"/>
    <col width="9" customWidth="1" min="10" max="10"/>
    <col width="6" customWidth="1" min="11" max="11"/>
    <col width="6" customWidth="1" min="12" max="12"/>
    <col width="5" customWidth="1" min="13" max="13"/>
    <col width="9" customWidth="1" min="14" max="14"/>
    <col width="8" customWidth="1" min="15" max="15"/>
    <col width="30" customWidth="1" min="16" max="16"/>
    <col width="40" customWidth="1" min="17" max="17"/>
  </cols>
  <sheetData>
    <row r="1" ht="36" customHeight="1">
      <c r="A1" s="1" t="inlineStr">
        <is>
          <t>生成AI利用ガイドライン チェックリスト</t>
        </is>
      </c>
    </row>
    <row r="2" ht="28" customHeight="1">
      <c r="A2" s="2" t="inlineStr">
        <is>
          <t>組織名: ＿＿＿＿＿　記入者: ＿＿＿＿＿　記入日: ＿＿＿＿年＿＿月＿＿日</t>
        </is>
      </c>
    </row>
    <row r="3" ht="40" customHeight="1">
      <c r="A3" s="3" t="inlineStr">
        <is>
          <t>チェック結果</t>
        </is>
      </c>
      <c r="B3" s="3" t="inlineStr">
        <is>
          <t>項目番号</t>
        </is>
      </c>
      <c r="C3" s="3" t="inlineStr">
        <is>
          <t>章</t>
        </is>
      </c>
      <c r="D3" s="3" t="inlineStr">
        <is>
          <t>章タイトル</t>
        </is>
      </c>
      <c r="E3" s="3" t="inlineStr">
        <is>
          <t>節</t>
        </is>
      </c>
      <c r="F3" s="3" t="inlineStr">
        <is>
          <t>節タイトル</t>
        </is>
      </c>
      <c r="G3" s="3" t="inlineStr">
        <is>
          <t>準拠レベル</t>
        </is>
      </c>
      <c r="H3" s="3" t="inlineStr">
        <is>
          <t>チェック項目</t>
        </is>
      </c>
      <c r="I3" s="3" t="inlineStr">
        <is>
          <t>NIST</t>
        </is>
      </c>
      <c r="J3" s="3" t="inlineStr">
        <is>
          <t>NIST-GAI</t>
        </is>
      </c>
      <c r="K3" s="3" t="inlineStr">
        <is>
          <t>METI</t>
        </is>
      </c>
      <c r="L3" s="3" t="inlineStr">
        <is>
          <t>JDLA</t>
        </is>
      </c>
      <c r="M3" s="3" t="inlineStr">
        <is>
          <t>IPA</t>
        </is>
      </c>
      <c r="N3" s="3" t="inlineStr">
        <is>
          <t>FUJITSU</t>
        </is>
      </c>
      <c r="O3" s="3" t="inlineStr">
        <is>
          <t>EU-AIA</t>
        </is>
      </c>
      <c r="P3" s="3" t="inlineStr">
        <is>
          <t>備考</t>
        </is>
      </c>
      <c r="Q3" s="3" t="inlineStr">
        <is>
          <t>対応状況メモ</t>
        </is>
      </c>
    </row>
    <row r="4">
      <c r="A4" s="4" t="inlineStr"/>
      <c r="B4" s="5" t="inlineStr">
        <is>
          <t>1.1.A</t>
        </is>
      </c>
      <c r="C4" s="5" t="n">
        <v>1</v>
      </c>
      <c r="D4" s="5" t="inlineStr">
        <is>
          <t>ガバナンス体制 (GOVERN)</t>
        </is>
      </c>
      <c r="E4" s="5" t="inlineStr">
        <is>
          <t>1.1</t>
        </is>
      </c>
      <c r="F4" s="5" t="inlineStr">
        <is>
          <t>組織体制・責任</t>
        </is>
      </c>
      <c r="G4" s="5" t="inlineStr">
        <is>
          <t>Required</t>
        </is>
      </c>
      <c r="H4" s="6" t="inlineStr">
        <is>
          <t>生成AI利用に関する最終責任者（経営層）が明確に定められている</t>
        </is>
      </c>
      <c r="I4" s="7" t="inlineStr">
        <is>
          <t>○</t>
        </is>
      </c>
      <c r="J4" s="7" t="inlineStr"/>
      <c r="K4" s="7" t="inlineStr">
        <is>
          <t>○</t>
        </is>
      </c>
      <c r="L4" s="7" t="inlineStr"/>
      <c r="M4" s="7" t="inlineStr"/>
      <c r="N4" s="7" t="inlineStr"/>
      <c r="O4" s="7" t="inlineStr"/>
      <c r="P4" s="8" t="inlineStr"/>
      <c r="Q4" s="8" t="inlineStr"/>
    </row>
    <row r="5">
      <c r="A5" s="4" t="inlineStr"/>
      <c r="B5" s="5" t="inlineStr">
        <is>
          <t>1.1.B</t>
        </is>
      </c>
      <c r="C5" s="5" t="n">
        <v>1</v>
      </c>
      <c r="D5" s="5" t="inlineStr">
        <is>
          <t>ガバナンス体制 (GOVERN)</t>
        </is>
      </c>
      <c r="E5" s="5" t="inlineStr">
        <is>
          <t>1.1</t>
        </is>
      </c>
      <c r="F5" s="5" t="inlineStr">
        <is>
          <t>組織体制・責任</t>
        </is>
      </c>
      <c r="G5" s="5" t="inlineStr">
        <is>
          <t>Required</t>
        </is>
      </c>
      <c r="H5" s="6" t="inlineStr">
        <is>
          <t>AI利用に関する担当部門・担当者が指定されている</t>
        </is>
      </c>
      <c r="I5" s="7" t="inlineStr">
        <is>
          <t>○</t>
        </is>
      </c>
      <c r="J5" s="7" t="inlineStr"/>
      <c r="K5" s="7" t="inlineStr"/>
      <c r="L5" s="7" t="inlineStr">
        <is>
          <t>○</t>
        </is>
      </c>
      <c r="M5" s="7" t="inlineStr"/>
      <c r="N5" s="7" t="inlineStr"/>
      <c r="O5" s="7" t="inlineStr"/>
      <c r="P5" s="8" t="inlineStr"/>
      <c r="Q5" s="8" t="inlineStr"/>
    </row>
    <row r="6">
      <c r="A6" s="4" t="inlineStr"/>
      <c r="B6" s="5" t="inlineStr">
        <is>
          <t>1.1.C</t>
        </is>
      </c>
      <c r="C6" s="5" t="n">
        <v>1</v>
      </c>
      <c r="D6" s="5" t="inlineStr">
        <is>
          <t>ガバナンス体制 (GOVERN)</t>
        </is>
      </c>
      <c r="E6" s="5" t="inlineStr">
        <is>
          <t>1.1</t>
        </is>
      </c>
      <c r="F6" s="5" t="inlineStr">
        <is>
          <t>組織体制・責任</t>
        </is>
      </c>
      <c r="G6" s="5" t="inlineStr">
        <is>
          <t>Recommended</t>
        </is>
      </c>
      <c r="H6" s="6" t="inlineStr">
        <is>
          <t>部門横断的な推進体制（法務、情報システム、事業部門等）が構築されている</t>
        </is>
      </c>
      <c r="I6" s="7" t="inlineStr">
        <is>
          <t>○</t>
        </is>
      </c>
      <c r="J6" s="7" t="inlineStr"/>
      <c r="K6" s="7" t="inlineStr"/>
      <c r="L6" s="7" t="inlineStr"/>
      <c r="M6" s="7" t="inlineStr">
        <is>
          <t>○</t>
        </is>
      </c>
      <c r="N6" s="7" t="inlineStr"/>
      <c r="O6" s="7" t="inlineStr"/>
      <c r="P6" s="8" t="inlineStr"/>
      <c r="Q6" s="8" t="inlineStr"/>
    </row>
    <row r="7">
      <c r="A7" s="4" t="inlineStr"/>
      <c r="B7" s="5" t="inlineStr">
        <is>
          <t>1.1.D</t>
        </is>
      </c>
      <c r="C7" s="5" t="n">
        <v>1</v>
      </c>
      <c r="D7" s="5" t="inlineStr">
        <is>
          <t>ガバナンス体制 (GOVERN)</t>
        </is>
      </c>
      <c r="E7" s="5" t="inlineStr">
        <is>
          <t>1.1</t>
        </is>
      </c>
      <c r="F7" s="5" t="inlineStr">
        <is>
          <t>組織体制・責任</t>
        </is>
      </c>
      <c r="G7" s="5" t="inlineStr">
        <is>
          <t>Required</t>
        </is>
      </c>
      <c r="H7" s="6" t="inlineStr">
        <is>
          <t>役割と責任の範囲が文書化されている</t>
        </is>
      </c>
      <c r="I7" s="7" t="inlineStr">
        <is>
          <t>○</t>
        </is>
      </c>
      <c r="J7" s="7" t="inlineStr"/>
      <c r="K7" s="7" t="inlineStr">
        <is>
          <t>○</t>
        </is>
      </c>
      <c r="L7" s="7" t="inlineStr"/>
      <c r="M7" s="7" t="inlineStr"/>
      <c r="N7" s="7" t="inlineStr"/>
      <c r="O7" s="7" t="inlineStr"/>
      <c r="P7" s="8" t="inlineStr"/>
      <c r="Q7" s="8" t="inlineStr"/>
    </row>
    <row r="8">
      <c r="A8" s="4" t="inlineStr"/>
      <c r="B8" s="5" t="inlineStr">
        <is>
          <t>1.1.E</t>
        </is>
      </c>
      <c r="C8" s="5" t="n">
        <v>1</v>
      </c>
      <c r="D8" s="5" t="inlineStr">
        <is>
          <t>ガバナンス体制 (GOVERN)</t>
        </is>
      </c>
      <c r="E8" s="5" t="inlineStr">
        <is>
          <t>1.1</t>
        </is>
      </c>
      <c r="F8" s="5" t="inlineStr">
        <is>
          <t>組織体制・責任</t>
        </is>
      </c>
      <c r="G8" s="5" t="inlineStr">
        <is>
          <t>Required</t>
        </is>
      </c>
      <c r="H8" s="6" t="inlineStr">
        <is>
          <t>インシデント発生時のエスカレーションルートが定められている</t>
        </is>
      </c>
      <c r="I8" s="7" t="inlineStr">
        <is>
          <t>○</t>
        </is>
      </c>
      <c r="J8" s="7" t="inlineStr"/>
      <c r="K8" s="7" t="inlineStr"/>
      <c r="L8" s="7" t="inlineStr"/>
      <c r="M8" s="7" t="inlineStr">
        <is>
          <t>○</t>
        </is>
      </c>
      <c r="N8" s="7" t="inlineStr"/>
      <c r="O8" s="7" t="inlineStr"/>
      <c r="P8" s="8" t="inlineStr"/>
      <c r="Q8" s="8" t="inlineStr"/>
    </row>
    <row r="9">
      <c r="A9" s="4" t="inlineStr"/>
      <c r="B9" s="5" t="inlineStr">
        <is>
          <t>1.1.F</t>
        </is>
      </c>
      <c r="C9" s="5" t="n">
        <v>1</v>
      </c>
      <c r="D9" s="5" t="inlineStr">
        <is>
          <t>ガバナンス体制 (GOVERN)</t>
        </is>
      </c>
      <c r="E9" s="5" t="inlineStr">
        <is>
          <t>1.1</t>
        </is>
      </c>
      <c r="F9" s="5" t="inlineStr">
        <is>
          <t>組織体制・責任</t>
        </is>
      </c>
      <c r="G9" s="5" t="inlineStr">
        <is>
          <t>Option</t>
        </is>
      </c>
      <c r="H9" s="6" t="inlineStr">
        <is>
          <t>多様な視点を持つチーム構成が考慮されている</t>
        </is>
      </c>
      <c r="I9" s="7" t="inlineStr">
        <is>
          <t>○</t>
        </is>
      </c>
      <c r="J9" s="7" t="inlineStr"/>
      <c r="K9" s="7" t="inlineStr"/>
      <c r="L9" s="7" t="inlineStr"/>
      <c r="M9" s="7" t="inlineStr"/>
      <c r="N9" s="7" t="inlineStr"/>
      <c r="O9" s="7" t="inlineStr"/>
      <c r="P9" s="8" t="inlineStr"/>
      <c r="Q9" s="8" t="inlineStr"/>
    </row>
    <row r="10">
      <c r="A10" s="4" t="inlineStr"/>
      <c r="B10" s="5" t="inlineStr">
        <is>
          <t>1.2.A</t>
        </is>
      </c>
      <c r="C10" s="5" t="n">
        <v>1</v>
      </c>
      <c r="D10" s="5" t="inlineStr">
        <is>
          <t>ガバナンス体制 (GOVERN)</t>
        </is>
      </c>
      <c r="E10" s="5" t="inlineStr">
        <is>
          <t>1.2</t>
        </is>
      </c>
      <c r="F10" s="5" t="inlineStr">
        <is>
          <t>ポリシー・規程</t>
        </is>
      </c>
      <c r="G10" s="5" t="inlineStr">
        <is>
          <t>Required</t>
        </is>
      </c>
      <c r="H10" s="6" t="inlineStr">
        <is>
          <t>生成AI利用の目的・方針が明記されている</t>
        </is>
      </c>
      <c r="I10" s="7" t="inlineStr">
        <is>
          <t>○</t>
        </is>
      </c>
      <c r="J10" s="7" t="inlineStr"/>
      <c r="K10" s="7" t="inlineStr"/>
      <c r="L10" s="7" t="inlineStr">
        <is>
          <t>○</t>
        </is>
      </c>
      <c r="M10" s="7" t="inlineStr"/>
      <c r="N10" s="7" t="inlineStr"/>
      <c r="O10" s="7" t="inlineStr"/>
      <c r="P10" s="8" t="inlineStr"/>
      <c r="Q10" s="8" t="inlineStr"/>
    </row>
    <row r="11">
      <c r="A11" s="4" t="inlineStr"/>
      <c r="B11" s="5" t="inlineStr">
        <is>
          <t>1.2.B</t>
        </is>
      </c>
      <c r="C11" s="5" t="n">
        <v>1</v>
      </c>
      <c r="D11" s="5" t="inlineStr">
        <is>
          <t>ガバナンス体制 (GOVERN)</t>
        </is>
      </c>
      <c r="E11" s="5" t="inlineStr">
        <is>
          <t>1.2</t>
        </is>
      </c>
      <c r="F11" s="5" t="inlineStr">
        <is>
          <t>ポリシー・規程</t>
        </is>
      </c>
      <c r="G11" s="5" t="inlineStr">
        <is>
          <t>Required</t>
        </is>
      </c>
      <c r="H11" s="6" t="inlineStr">
        <is>
          <t>ガイドラインの適用範囲（対象者、対象業務、対象ツール）が明確である</t>
        </is>
      </c>
      <c r="I11" s="7" t="inlineStr"/>
      <c r="J11" s="7" t="inlineStr"/>
      <c r="K11" s="7" t="inlineStr"/>
      <c r="L11" s="7" t="inlineStr">
        <is>
          <t>○</t>
        </is>
      </c>
      <c r="M11" s="7" t="inlineStr">
        <is>
          <t>○</t>
        </is>
      </c>
      <c r="N11" s="7" t="inlineStr"/>
      <c r="O11" s="7" t="inlineStr"/>
      <c r="P11" s="8" t="inlineStr"/>
      <c r="Q11" s="8" t="inlineStr"/>
    </row>
    <row r="12">
      <c r="A12" s="4" t="inlineStr"/>
      <c r="B12" s="5" t="inlineStr">
        <is>
          <t>1.2.C</t>
        </is>
      </c>
      <c r="C12" s="5" t="n">
        <v>1</v>
      </c>
      <c r="D12" s="5" t="inlineStr">
        <is>
          <t>ガバナンス体制 (GOVERN)</t>
        </is>
      </c>
      <c r="E12" s="5" t="inlineStr">
        <is>
          <t>1.2</t>
        </is>
      </c>
      <c r="F12" s="5" t="inlineStr">
        <is>
          <t>ポリシー・規程</t>
        </is>
      </c>
      <c r="G12" s="5" t="inlineStr">
        <is>
          <t>Required</t>
        </is>
      </c>
      <c r="H12" s="6" t="inlineStr">
        <is>
          <t>既存の情報セキュリティポリシー、個人情報保護方針との整合性が取れている</t>
        </is>
      </c>
      <c r="I12" s="7" t="inlineStr">
        <is>
          <t>○</t>
        </is>
      </c>
      <c r="J12" s="7" t="inlineStr"/>
      <c r="K12" s="7" t="inlineStr">
        <is>
          <t>○</t>
        </is>
      </c>
      <c r="L12" s="7" t="inlineStr"/>
      <c r="M12" s="7" t="inlineStr"/>
      <c r="N12" s="7" t="inlineStr"/>
      <c r="O12" s="7" t="inlineStr"/>
      <c r="P12" s="8" t="inlineStr"/>
      <c r="Q12" s="8" t="inlineStr"/>
    </row>
    <row r="13">
      <c r="A13" s="4" t="inlineStr"/>
      <c r="B13" s="5" t="inlineStr">
        <is>
          <t>1.2.D</t>
        </is>
      </c>
      <c r="C13" s="5" t="n">
        <v>1</v>
      </c>
      <c r="D13" s="5" t="inlineStr">
        <is>
          <t>ガバナンス体制 (GOVERN)</t>
        </is>
      </c>
      <c r="E13" s="5" t="inlineStr">
        <is>
          <t>1.2</t>
        </is>
      </c>
      <c r="F13" s="5" t="inlineStr">
        <is>
          <t>ポリシー・規程</t>
        </is>
      </c>
      <c r="G13" s="5" t="inlineStr">
        <is>
          <t>Required</t>
        </is>
      </c>
      <c r="H13" s="6" t="inlineStr">
        <is>
          <t>関連する法令・規制要件（個人情報保護法、著作権法等）への言及がある</t>
        </is>
      </c>
      <c r="I13" s="7" t="inlineStr">
        <is>
          <t>○</t>
        </is>
      </c>
      <c r="J13" s="7" t="inlineStr"/>
      <c r="K13" s="7" t="inlineStr"/>
      <c r="L13" s="7" t="inlineStr">
        <is>
          <t>○</t>
        </is>
      </c>
      <c r="M13" s="7" t="inlineStr"/>
      <c r="N13" s="7" t="inlineStr"/>
      <c r="O13" s="7" t="inlineStr"/>
      <c r="P13" s="8" t="inlineStr"/>
      <c r="Q13" s="8" t="inlineStr"/>
    </row>
    <row r="14">
      <c r="A14" s="4" t="inlineStr"/>
      <c r="B14" s="5" t="inlineStr">
        <is>
          <t>1.2.E</t>
        </is>
      </c>
      <c r="C14" s="5" t="n">
        <v>1</v>
      </c>
      <c r="D14" s="5" t="inlineStr">
        <is>
          <t>ガバナンス体制 (GOVERN)</t>
        </is>
      </c>
      <c r="E14" s="5" t="inlineStr">
        <is>
          <t>1.2</t>
        </is>
      </c>
      <c r="F14" s="5" t="inlineStr">
        <is>
          <t>ポリシー・規程</t>
        </is>
      </c>
      <c r="G14" s="5" t="inlineStr">
        <is>
          <t>Recommended</t>
        </is>
      </c>
      <c r="H14" s="6" t="inlineStr">
        <is>
          <t>ガイドラインの定期的な見直し・更新の仕組みが定められている</t>
        </is>
      </c>
      <c r="I14" s="7" t="inlineStr">
        <is>
          <t>○</t>
        </is>
      </c>
      <c r="J14" s="7" t="inlineStr"/>
      <c r="K14" s="7" t="inlineStr">
        <is>
          <t>○</t>
        </is>
      </c>
      <c r="L14" s="7" t="inlineStr"/>
      <c r="M14" s="7" t="inlineStr"/>
      <c r="N14" s="7" t="inlineStr"/>
      <c r="O14" s="7" t="inlineStr"/>
      <c r="P14" s="8" t="inlineStr"/>
      <c r="Q14" s="8" t="inlineStr"/>
    </row>
    <row r="15">
      <c r="A15" s="4" t="inlineStr"/>
      <c r="B15" s="5" t="inlineStr">
        <is>
          <t>1.2.F</t>
        </is>
      </c>
      <c r="C15" s="5" t="n">
        <v>1</v>
      </c>
      <c r="D15" s="5" t="inlineStr">
        <is>
          <t>ガバナンス体制 (GOVERN)</t>
        </is>
      </c>
      <c r="E15" s="5" t="inlineStr">
        <is>
          <t>1.2</t>
        </is>
      </c>
      <c r="F15" s="5" t="inlineStr">
        <is>
          <t>ポリシー・規程</t>
        </is>
      </c>
      <c r="G15" s="5" t="inlineStr">
        <is>
          <t>Recommended</t>
        </is>
      </c>
      <c r="H15" s="6" t="inlineStr">
        <is>
          <t>リスク許容度が組織として定義されている</t>
        </is>
      </c>
      <c r="I15" s="7" t="inlineStr">
        <is>
          <t>○</t>
        </is>
      </c>
      <c r="J15" s="7" t="inlineStr"/>
      <c r="K15" s="7" t="inlineStr">
        <is>
          <t>○</t>
        </is>
      </c>
      <c r="L15" s="7" t="inlineStr"/>
      <c r="M15" s="7" t="inlineStr"/>
      <c r="N15" s="7" t="inlineStr"/>
      <c r="O15" s="7" t="inlineStr"/>
      <c r="P15" s="8" t="inlineStr"/>
      <c r="Q15" s="8" t="inlineStr"/>
    </row>
    <row r="16">
      <c r="A16" s="4" t="inlineStr"/>
      <c r="B16" s="5" t="inlineStr">
        <is>
          <t>1.3.A</t>
        </is>
      </c>
      <c r="C16" s="5" t="n">
        <v>1</v>
      </c>
      <c r="D16" s="5" t="inlineStr">
        <is>
          <t>ガバナンス体制 (GOVERN)</t>
        </is>
      </c>
      <c r="E16" s="5" t="inlineStr">
        <is>
          <t>1.3</t>
        </is>
      </c>
      <c r="F16" s="5" t="inlineStr">
        <is>
          <t>教育・研修</t>
        </is>
      </c>
      <c r="G16" s="5" t="inlineStr">
        <is>
          <t>Required</t>
        </is>
      </c>
      <c r="H16" s="6" t="inlineStr">
        <is>
          <t>従業員向けの生成AI利用研修が計画されている</t>
        </is>
      </c>
      <c r="I16" s="7" t="inlineStr">
        <is>
          <t>○</t>
        </is>
      </c>
      <c r="J16" s="7" t="inlineStr"/>
      <c r="K16" s="7" t="inlineStr"/>
      <c r="L16" s="7" t="inlineStr">
        <is>
          <t>○</t>
        </is>
      </c>
      <c r="M16" s="7" t="inlineStr"/>
      <c r="N16" s="7" t="inlineStr"/>
      <c r="O16" s="7" t="inlineStr"/>
      <c r="P16" s="8" t="inlineStr"/>
      <c r="Q16" s="8" t="inlineStr"/>
    </row>
    <row r="17">
      <c r="A17" s="4" t="inlineStr"/>
      <c r="B17" s="5" t="inlineStr">
        <is>
          <t>1.3.B</t>
        </is>
      </c>
      <c r="C17" s="5" t="n">
        <v>1</v>
      </c>
      <c r="D17" s="5" t="inlineStr">
        <is>
          <t>ガバナンス体制 (GOVERN)</t>
        </is>
      </c>
      <c r="E17" s="5" t="inlineStr">
        <is>
          <t>1.3</t>
        </is>
      </c>
      <c r="F17" s="5" t="inlineStr">
        <is>
          <t>教育・研修</t>
        </is>
      </c>
      <c r="G17" s="5" t="inlineStr">
        <is>
          <t>Recommended</t>
        </is>
      </c>
      <c r="H17" s="6" t="inlineStr">
        <is>
          <t>ITリテラシーレベルに応じた教育内容が用意されている</t>
        </is>
      </c>
      <c r="I17" s="7" t="inlineStr"/>
      <c r="J17" s="7" t="inlineStr"/>
      <c r="K17" s="7" t="inlineStr"/>
      <c r="L17" s="7" t="inlineStr">
        <is>
          <t>○</t>
        </is>
      </c>
      <c r="M17" s="7" t="inlineStr">
        <is>
          <t>○</t>
        </is>
      </c>
      <c r="N17" s="7" t="inlineStr"/>
      <c r="O17" s="7" t="inlineStr"/>
      <c r="P17" s="8" t="inlineStr"/>
      <c r="Q17" s="8" t="inlineStr"/>
    </row>
    <row r="18">
      <c r="A18" s="4" t="inlineStr"/>
      <c r="B18" s="5" t="inlineStr">
        <is>
          <t>1.3.C</t>
        </is>
      </c>
      <c r="C18" s="5" t="n">
        <v>1</v>
      </c>
      <c r="D18" s="5" t="inlineStr">
        <is>
          <t>ガバナンス体制 (GOVERN)</t>
        </is>
      </c>
      <c r="E18" s="5" t="inlineStr">
        <is>
          <t>1.3</t>
        </is>
      </c>
      <c r="F18" s="5" t="inlineStr">
        <is>
          <t>教育・研修</t>
        </is>
      </c>
      <c r="G18" s="5" t="inlineStr">
        <is>
          <t>Required</t>
        </is>
      </c>
      <c r="H18" s="6" t="inlineStr">
        <is>
          <t>新規利用者向けのオンボーディングプロセスがある</t>
        </is>
      </c>
      <c r="I18" s="7" t="inlineStr">
        <is>
          <t>○</t>
        </is>
      </c>
      <c r="J18" s="7" t="inlineStr"/>
      <c r="K18" s="7" t="inlineStr"/>
      <c r="L18" s="7" t="inlineStr"/>
      <c r="M18" s="7" t="inlineStr"/>
      <c r="N18" s="7" t="inlineStr"/>
      <c r="O18" s="7" t="inlineStr"/>
      <c r="P18" s="8" t="inlineStr"/>
      <c r="Q18" s="8" t="inlineStr"/>
    </row>
    <row r="19">
      <c r="A19" s="4" t="inlineStr"/>
      <c r="B19" s="5" t="inlineStr">
        <is>
          <t>1.3.D</t>
        </is>
      </c>
      <c r="C19" s="5" t="n">
        <v>1</v>
      </c>
      <c r="D19" s="5" t="inlineStr">
        <is>
          <t>ガバナンス体制 (GOVERN)</t>
        </is>
      </c>
      <c r="E19" s="5" t="inlineStr">
        <is>
          <t>1.3</t>
        </is>
      </c>
      <c r="F19" s="5" t="inlineStr">
        <is>
          <t>教育・研修</t>
        </is>
      </c>
      <c r="G19" s="5" t="inlineStr">
        <is>
          <t>Recommended</t>
        </is>
      </c>
      <c r="H19" s="6" t="inlineStr">
        <is>
          <t>継続的な啓発活動（事例共有、注意喚起等）の仕組みがある</t>
        </is>
      </c>
      <c r="I19" s="7" t="inlineStr">
        <is>
          <t>○</t>
        </is>
      </c>
      <c r="J19" s="7" t="inlineStr"/>
      <c r="K19" s="7" t="inlineStr"/>
      <c r="L19" s="7" t="inlineStr">
        <is>
          <t>○</t>
        </is>
      </c>
      <c r="M19" s="7" t="inlineStr"/>
      <c r="N19" s="7" t="inlineStr"/>
      <c r="O19" s="7" t="inlineStr"/>
      <c r="P19" s="8" t="inlineStr"/>
      <c r="Q19" s="8" t="inlineStr"/>
    </row>
    <row r="20">
      <c r="A20" s="4" t="inlineStr"/>
      <c r="B20" s="5" t="inlineStr">
        <is>
          <t>1.4.A</t>
        </is>
      </c>
      <c r="C20" s="5" t="n">
        <v>1</v>
      </c>
      <c r="D20" s="5" t="inlineStr">
        <is>
          <t>ガバナンス体制 (GOVERN)</t>
        </is>
      </c>
      <c r="E20" s="5" t="inlineStr">
        <is>
          <t>1.4</t>
        </is>
      </c>
      <c r="F20" s="5" t="inlineStr">
        <is>
          <t>監視・監査</t>
        </is>
      </c>
      <c r="G20" s="5" t="inlineStr">
        <is>
          <t>Option</t>
        </is>
      </c>
      <c r="H20" s="6" t="inlineStr">
        <is>
          <t>利用状況のモニタリング方法が定められている</t>
        </is>
      </c>
      <c r="I20" s="7" t="inlineStr">
        <is>
          <t>○</t>
        </is>
      </c>
      <c r="J20" s="7" t="inlineStr"/>
      <c r="K20" s="7" t="inlineStr"/>
      <c r="L20" s="7" t="inlineStr"/>
      <c r="M20" s="7" t="inlineStr">
        <is>
          <t>○</t>
        </is>
      </c>
      <c r="N20" s="7" t="inlineStr"/>
      <c r="O20" s="7" t="inlineStr"/>
      <c r="P20" s="8" t="inlineStr"/>
      <c r="Q20" s="8" t="inlineStr"/>
    </row>
    <row r="21">
      <c r="A21" s="4" t="inlineStr"/>
      <c r="B21" s="5" t="inlineStr">
        <is>
          <t>1.4.B</t>
        </is>
      </c>
      <c r="C21" s="5" t="n">
        <v>1</v>
      </c>
      <c r="D21" s="5" t="inlineStr">
        <is>
          <t>ガバナンス体制 (GOVERN)</t>
        </is>
      </c>
      <c r="E21" s="5" t="inlineStr">
        <is>
          <t>1.4</t>
        </is>
      </c>
      <c r="F21" s="5" t="inlineStr">
        <is>
          <t>監視・監査</t>
        </is>
      </c>
      <c r="G21" s="5" t="inlineStr">
        <is>
          <t>Option</t>
        </is>
      </c>
      <c r="H21" s="6" t="inlineStr">
        <is>
          <t>定期的な監査・レビューの実施計画がある</t>
        </is>
      </c>
      <c r="I21" s="7" t="inlineStr">
        <is>
          <t>○</t>
        </is>
      </c>
      <c r="J21" s="7" t="inlineStr"/>
      <c r="K21" s="7" t="inlineStr">
        <is>
          <t>○</t>
        </is>
      </c>
      <c r="L21" s="7" t="inlineStr"/>
      <c r="M21" s="7" t="inlineStr"/>
      <c r="N21" s="7" t="inlineStr"/>
      <c r="O21" s="7" t="inlineStr"/>
      <c r="P21" s="8" t="inlineStr"/>
      <c r="Q21" s="8" t="inlineStr"/>
    </row>
    <row r="22">
      <c r="A22" s="4" t="inlineStr"/>
      <c r="B22" s="5" t="inlineStr">
        <is>
          <t>1.4.C</t>
        </is>
      </c>
      <c r="C22" s="5" t="n">
        <v>1</v>
      </c>
      <c r="D22" s="5" t="inlineStr">
        <is>
          <t>ガバナンス体制 (GOVERN)</t>
        </is>
      </c>
      <c r="E22" s="5" t="inlineStr">
        <is>
          <t>1.4</t>
        </is>
      </c>
      <c r="F22" s="5" t="inlineStr">
        <is>
          <t>監視・監査</t>
        </is>
      </c>
      <c r="G22" s="5" t="inlineStr">
        <is>
          <t>Required</t>
        </is>
      </c>
      <c r="H22" s="6" t="inlineStr">
        <is>
          <t>違反時の対応プロセスが明記されている</t>
        </is>
      </c>
      <c r="I22" s="7" t="inlineStr"/>
      <c r="J22" s="7" t="inlineStr"/>
      <c r="K22" s="7" t="inlineStr"/>
      <c r="L22" s="7" t="inlineStr">
        <is>
          <t>○</t>
        </is>
      </c>
      <c r="M22" s="7" t="inlineStr">
        <is>
          <t>○</t>
        </is>
      </c>
      <c r="N22" s="7" t="inlineStr"/>
      <c r="O22" s="7" t="inlineStr"/>
      <c r="P22" s="8" t="inlineStr"/>
      <c r="Q22" s="8" t="inlineStr"/>
    </row>
    <row r="23">
      <c r="A23" s="4" t="inlineStr"/>
      <c r="B23" s="5" t="inlineStr">
        <is>
          <t>1.4.D</t>
        </is>
      </c>
      <c r="C23" s="5" t="n">
        <v>1</v>
      </c>
      <c r="D23" s="5" t="inlineStr">
        <is>
          <t>ガバナンス体制 (GOVERN)</t>
        </is>
      </c>
      <c r="E23" s="5" t="inlineStr">
        <is>
          <t>1.4</t>
        </is>
      </c>
      <c r="F23" s="5" t="inlineStr">
        <is>
          <t>監視・監査</t>
        </is>
      </c>
      <c r="G23" s="5" t="inlineStr">
        <is>
          <t>Recommended</t>
        </is>
      </c>
      <c r="H23" s="6" t="inlineStr">
        <is>
          <t>AIシステムのインベントリ管理の仕組みがある</t>
        </is>
      </c>
      <c r="I23" s="7" t="inlineStr">
        <is>
          <t>○</t>
        </is>
      </c>
      <c r="J23" s="7" t="inlineStr"/>
      <c r="K23" s="7" t="inlineStr"/>
      <c r="L23" s="7" t="inlineStr"/>
      <c r="M23" s="7" t="inlineStr"/>
      <c r="N23" s="7" t="inlineStr"/>
      <c r="O23" s="7" t="inlineStr"/>
      <c r="P23" s="8" t="inlineStr"/>
      <c r="Q23" s="8" t="inlineStr"/>
    </row>
    <row r="24">
      <c r="A24" s="4" t="inlineStr"/>
      <c r="B24" s="5" t="inlineStr">
        <is>
          <t>1.4.E</t>
        </is>
      </c>
      <c r="C24" s="5" t="n">
        <v>1</v>
      </c>
      <c r="D24" s="5" t="inlineStr">
        <is>
          <t>ガバナンス体制 (GOVERN)</t>
        </is>
      </c>
      <c r="E24" s="5" t="inlineStr">
        <is>
          <t>1.4</t>
        </is>
      </c>
      <c r="F24" s="5" t="inlineStr">
        <is>
          <t>監視・監査</t>
        </is>
      </c>
      <c r="G24" s="5" t="inlineStr">
        <is>
          <t>Recommended</t>
        </is>
      </c>
      <c r="H24" s="6" t="inlineStr">
        <is>
          <t>AIサービスの提供終了・重大変更時の対応方針がある</t>
        </is>
      </c>
      <c r="I24" s="7" t="inlineStr">
        <is>
          <t>○</t>
        </is>
      </c>
      <c r="J24" s="7" t="inlineStr"/>
      <c r="K24" s="7" t="inlineStr"/>
      <c r="L24" s="7" t="inlineStr"/>
      <c r="M24" s="7" t="inlineStr"/>
      <c r="N24" s="7" t="inlineStr"/>
      <c r="O24" s="7" t="inlineStr"/>
      <c r="P24" s="8" t="inlineStr"/>
      <c r="Q24" s="8" t="inlineStr"/>
    </row>
    <row r="25">
      <c r="A25" s="4" t="inlineStr"/>
      <c r="B25" s="9" t="inlineStr">
        <is>
          <t>2.1.A</t>
        </is>
      </c>
      <c r="C25" s="9" t="n">
        <v>2</v>
      </c>
      <c r="D25" s="9" t="inlineStr">
        <is>
          <t>リスクの特定と評価 (MAP)</t>
        </is>
      </c>
      <c r="E25" s="9" t="inlineStr">
        <is>
          <t>2.1</t>
        </is>
      </c>
      <c r="F25" s="9" t="inlineStr">
        <is>
          <t>利用目的・文脈の明確化</t>
        </is>
      </c>
      <c r="G25" s="9" t="inlineStr">
        <is>
          <t>Required</t>
        </is>
      </c>
      <c r="H25" s="10" t="inlineStr">
        <is>
          <t>生成AIを利用する業務・ユースケースが特定されている</t>
        </is>
      </c>
      <c r="I25" s="11" t="inlineStr">
        <is>
          <t>○</t>
        </is>
      </c>
      <c r="J25" s="11" t="inlineStr"/>
      <c r="K25" s="11" t="inlineStr"/>
      <c r="L25" s="11" t="inlineStr">
        <is>
          <t>○</t>
        </is>
      </c>
      <c r="M25" s="11" t="inlineStr"/>
      <c r="N25" s="11" t="inlineStr"/>
      <c r="O25" s="11" t="inlineStr"/>
      <c r="P25" s="8" t="inlineStr"/>
      <c r="Q25" s="8" t="inlineStr"/>
    </row>
    <row r="26">
      <c r="A26" s="4" t="inlineStr"/>
      <c r="B26" s="9" t="inlineStr">
        <is>
          <t>2.1.B</t>
        </is>
      </c>
      <c r="C26" s="9" t="n">
        <v>2</v>
      </c>
      <c r="D26" s="9" t="inlineStr">
        <is>
          <t>リスクの特定と評価 (MAP)</t>
        </is>
      </c>
      <c r="E26" s="9" t="inlineStr">
        <is>
          <t>2.1</t>
        </is>
      </c>
      <c r="F26" s="9" t="inlineStr">
        <is>
          <t>利用目的・文脈の明確化</t>
        </is>
      </c>
      <c r="G26" s="9" t="inlineStr">
        <is>
          <t>Required</t>
        </is>
      </c>
      <c r="H26" s="10" t="inlineStr">
        <is>
          <t>各ユースケースにおける期待される効果（便益）が文書化されている</t>
        </is>
      </c>
      <c r="I26" s="11" t="inlineStr">
        <is>
          <t>○</t>
        </is>
      </c>
      <c r="J26" s="11" t="inlineStr"/>
      <c r="K26" s="11" t="inlineStr">
        <is>
          <t>○</t>
        </is>
      </c>
      <c r="L26" s="11" t="inlineStr"/>
      <c r="M26" s="11" t="inlineStr"/>
      <c r="N26" s="11" t="inlineStr"/>
      <c r="O26" s="11" t="inlineStr"/>
      <c r="P26" s="8" t="inlineStr"/>
      <c r="Q26" s="8" t="inlineStr"/>
    </row>
    <row r="27">
      <c r="A27" s="4" t="inlineStr"/>
      <c r="B27" s="9" t="inlineStr">
        <is>
          <t>2.1.C</t>
        </is>
      </c>
      <c r="C27" s="9" t="n">
        <v>2</v>
      </c>
      <c r="D27" s="9" t="inlineStr">
        <is>
          <t>リスクの特定と評価 (MAP)</t>
        </is>
      </c>
      <c r="E27" s="9" t="inlineStr">
        <is>
          <t>2.1</t>
        </is>
      </c>
      <c r="F27" s="9" t="inlineStr">
        <is>
          <t>利用目的・文脈の明確化</t>
        </is>
      </c>
      <c r="G27" s="9" t="inlineStr">
        <is>
          <t>Required</t>
        </is>
      </c>
      <c r="H27" s="10" t="inlineStr">
        <is>
          <t>想定ユーザーとその利用方法が定義されている</t>
        </is>
      </c>
      <c r="I27" s="11" t="inlineStr">
        <is>
          <t>○</t>
        </is>
      </c>
      <c r="J27" s="11" t="inlineStr"/>
      <c r="K27" s="11" t="inlineStr">
        <is>
          <t>○</t>
        </is>
      </c>
      <c r="L27" s="11" t="inlineStr"/>
      <c r="M27" s="11" t="inlineStr"/>
      <c r="N27" s="11" t="inlineStr"/>
      <c r="O27" s="11" t="inlineStr"/>
      <c r="P27" s="8" t="inlineStr"/>
      <c r="Q27" s="8" t="inlineStr"/>
    </row>
    <row r="28">
      <c r="A28" s="4" t="inlineStr"/>
      <c r="B28" s="9" t="inlineStr">
        <is>
          <t>2.1.D</t>
        </is>
      </c>
      <c r="C28" s="9" t="n">
        <v>2</v>
      </c>
      <c r="D28" s="9" t="inlineStr">
        <is>
          <t>リスクの特定と評価 (MAP)</t>
        </is>
      </c>
      <c r="E28" s="9" t="inlineStr">
        <is>
          <t>2.1</t>
        </is>
      </c>
      <c r="F28" s="9" t="inlineStr">
        <is>
          <t>利用目的・文脈の明確化</t>
        </is>
      </c>
      <c r="G28" s="9" t="inlineStr">
        <is>
          <t>Required</t>
        </is>
      </c>
      <c r="H28" s="10" t="inlineStr">
        <is>
          <t>AIを使用すべきでない業務・場面が明記されている</t>
        </is>
      </c>
      <c r="I28" s="11" t="inlineStr">
        <is>
          <t>○</t>
        </is>
      </c>
      <c r="J28" s="11" t="inlineStr"/>
      <c r="K28" s="11" t="inlineStr"/>
      <c r="L28" s="11" t="inlineStr">
        <is>
          <t>○</t>
        </is>
      </c>
      <c r="M28" s="11" t="inlineStr"/>
      <c r="N28" s="11" t="inlineStr"/>
      <c r="O28" s="11" t="inlineStr"/>
      <c r="P28" s="8" t="inlineStr"/>
      <c r="Q28" s="8" t="inlineStr"/>
    </row>
    <row r="29">
      <c r="A29" s="4" t="inlineStr"/>
      <c r="B29" s="9" t="inlineStr">
        <is>
          <t>2.1.E</t>
        </is>
      </c>
      <c r="C29" s="9" t="n">
        <v>2</v>
      </c>
      <c r="D29" s="9" t="inlineStr">
        <is>
          <t>リスクの特定と評価 (MAP)</t>
        </is>
      </c>
      <c r="E29" s="9" t="inlineStr">
        <is>
          <t>2.1</t>
        </is>
      </c>
      <c r="F29" s="9" t="inlineStr">
        <is>
          <t>利用目的・文脈の明確化</t>
        </is>
      </c>
      <c r="G29" s="9" t="inlineStr">
        <is>
          <t>Required</t>
        </is>
      </c>
      <c r="H29" s="10" t="inlineStr">
        <is>
          <t>ビジネス価値・目的が明確に定義されている</t>
        </is>
      </c>
      <c r="I29" s="11" t="inlineStr">
        <is>
          <t>○</t>
        </is>
      </c>
      <c r="J29" s="11" t="inlineStr"/>
      <c r="K29" s="11" t="inlineStr"/>
      <c r="L29" s="11" t="inlineStr"/>
      <c r="M29" s="11" t="inlineStr"/>
      <c r="N29" s="11" t="inlineStr"/>
      <c r="O29" s="11" t="inlineStr"/>
      <c r="P29" s="8" t="inlineStr"/>
      <c r="Q29" s="8" t="inlineStr"/>
    </row>
    <row r="30">
      <c r="A30" s="4" t="inlineStr"/>
      <c r="B30" s="9" t="inlineStr">
        <is>
          <t>2.1.F</t>
        </is>
      </c>
      <c r="C30" s="9" t="n">
        <v>2</v>
      </c>
      <c r="D30" s="9" t="inlineStr">
        <is>
          <t>リスクの特定と評価 (MAP)</t>
        </is>
      </c>
      <c r="E30" s="9" t="inlineStr">
        <is>
          <t>2.1</t>
        </is>
      </c>
      <c r="F30" s="9" t="inlineStr">
        <is>
          <t>利用目的・文脈の明確化</t>
        </is>
      </c>
      <c r="G30" s="9" t="inlineStr">
        <is>
          <t>Required</t>
        </is>
      </c>
      <c r="H30" s="10" t="inlineStr">
        <is>
          <t>組織のミッション・目標との整合性が確認されている</t>
        </is>
      </c>
      <c r="I30" s="11" t="inlineStr">
        <is>
          <t>○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8" t="inlineStr"/>
      <c r="Q30" s="8" t="inlineStr"/>
    </row>
    <row r="31">
      <c r="A31" s="4" t="inlineStr"/>
      <c r="B31" s="9" t="inlineStr">
        <is>
          <t>2.2.A</t>
        </is>
      </c>
      <c r="C31" s="9" t="n">
        <v>2</v>
      </c>
      <c r="D31" s="9" t="inlineStr">
        <is>
          <t>リスクの特定と評価 (MAP)</t>
        </is>
      </c>
      <c r="E31" s="9" t="inlineStr">
        <is>
          <t>2.2</t>
        </is>
      </c>
      <c r="F31" s="9" t="inlineStr">
        <is>
          <t>リスクの分類と評価</t>
        </is>
      </c>
      <c r="G31" s="9" t="inlineStr">
        <is>
          <t>Required</t>
        </is>
      </c>
      <c r="H31" s="10" t="inlineStr">
        <is>
          <t>情報漏えいリスクの評価がされている</t>
        </is>
      </c>
      <c r="I31" s="11" t="inlineStr"/>
      <c r="J31" s="11" t="inlineStr"/>
      <c r="K31" s="11" t="inlineStr"/>
      <c r="L31" s="11" t="inlineStr">
        <is>
          <t>○</t>
        </is>
      </c>
      <c r="M31" s="11" t="inlineStr">
        <is>
          <t>○</t>
        </is>
      </c>
      <c r="N31" s="11" t="inlineStr">
        <is>
          <t>○</t>
        </is>
      </c>
      <c r="O31" s="11" t="inlineStr"/>
      <c r="P31" s="8" t="inlineStr"/>
      <c r="Q31" s="8" t="inlineStr"/>
    </row>
    <row r="32">
      <c r="A32" s="4" t="inlineStr"/>
      <c r="B32" s="9" t="inlineStr">
        <is>
          <t>2.2.B</t>
        </is>
      </c>
      <c r="C32" s="9" t="n">
        <v>2</v>
      </c>
      <c r="D32" s="9" t="inlineStr">
        <is>
          <t>リスクの特定と評価 (MAP)</t>
        </is>
      </c>
      <c r="E32" s="9" t="inlineStr">
        <is>
          <t>2.2</t>
        </is>
      </c>
      <c r="F32" s="9" t="inlineStr">
        <is>
          <t>リスクの分類と評価</t>
        </is>
      </c>
      <c r="G32" s="9" t="inlineStr">
        <is>
          <t>Required</t>
        </is>
      </c>
      <c r="H32" s="10" t="inlineStr">
        <is>
          <t>著作権・知的財産権侵害リスクの評価がされている</t>
        </is>
      </c>
      <c r="I32" s="11" t="inlineStr"/>
      <c r="J32" s="11" t="inlineStr"/>
      <c r="K32" s="11" t="inlineStr">
        <is>
          <t>○</t>
        </is>
      </c>
      <c r="L32" s="11" t="inlineStr">
        <is>
          <t>○</t>
        </is>
      </c>
      <c r="M32" s="11" t="inlineStr"/>
      <c r="N32" s="11" t="inlineStr">
        <is>
          <t>○</t>
        </is>
      </c>
      <c r="O32" s="11" t="inlineStr"/>
      <c r="P32" s="8" t="inlineStr"/>
      <c r="Q32" s="8" t="inlineStr"/>
    </row>
    <row r="33">
      <c r="A33" s="4" t="inlineStr"/>
      <c r="B33" s="9" t="inlineStr">
        <is>
          <t>2.2.C</t>
        </is>
      </c>
      <c r="C33" s="9" t="n">
        <v>2</v>
      </c>
      <c r="D33" s="9" t="inlineStr">
        <is>
          <t>リスクの特定と評価 (MAP)</t>
        </is>
      </c>
      <c r="E33" s="9" t="inlineStr">
        <is>
          <t>2.2</t>
        </is>
      </c>
      <c r="F33" s="9" t="inlineStr">
        <is>
          <t>リスクの分類と評価</t>
        </is>
      </c>
      <c r="G33" s="9" t="inlineStr">
        <is>
          <t>Required</t>
        </is>
      </c>
      <c r="H33" s="10" t="inlineStr">
        <is>
          <t>ハルシネーション（誤情報生成）リスクの評価がされている</t>
        </is>
      </c>
      <c r="I33" s="11" t="inlineStr"/>
      <c r="J33" s="11" t="inlineStr">
        <is>
          <t>○</t>
        </is>
      </c>
      <c r="K33" s="11" t="inlineStr"/>
      <c r="L33" s="11" t="inlineStr">
        <is>
          <t>○</t>
        </is>
      </c>
      <c r="M33" s="11" t="inlineStr"/>
      <c r="N33" s="11" t="inlineStr">
        <is>
          <t>○</t>
        </is>
      </c>
      <c r="O33" s="11" t="inlineStr"/>
      <c r="P33" s="8" t="inlineStr"/>
      <c r="Q33" s="8" t="inlineStr"/>
    </row>
    <row r="34">
      <c r="A34" s="4" t="inlineStr"/>
      <c r="B34" s="9" t="inlineStr">
        <is>
          <t>2.2.D</t>
        </is>
      </c>
      <c r="C34" s="9" t="n">
        <v>2</v>
      </c>
      <c r="D34" s="9" t="inlineStr">
        <is>
          <t>リスクの特定と評価 (MAP)</t>
        </is>
      </c>
      <c r="E34" s="9" t="inlineStr">
        <is>
          <t>2.2</t>
        </is>
      </c>
      <c r="F34" s="9" t="inlineStr">
        <is>
          <t>リスクの分類と評価</t>
        </is>
      </c>
      <c r="G34" s="9" t="inlineStr">
        <is>
          <t>Recommended</t>
        </is>
      </c>
      <c r="H34" s="10" t="inlineStr">
        <is>
          <t>バイアス・公平性に関するリスクの評価がされている</t>
        </is>
      </c>
      <c r="I34" s="11" t="inlineStr">
        <is>
          <t>○</t>
        </is>
      </c>
      <c r="J34" s="11" t="inlineStr"/>
      <c r="K34" s="11" t="inlineStr">
        <is>
          <t>○</t>
        </is>
      </c>
      <c r="L34" s="11" t="inlineStr"/>
      <c r="M34" s="11" t="inlineStr"/>
      <c r="N34" s="11" t="inlineStr">
        <is>
          <t>○</t>
        </is>
      </c>
      <c r="O34" s="11" t="inlineStr"/>
      <c r="P34" s="8" t="inlineStr"/>
      <c r="Q34" s="8" t="inlineStr"/>
    </row>
    <row r="35">
      <c r="A35" s="4" t="inlineStr"/>
      <c r="B35" s="9" t="inlineStr">
        <is>
          <t>2.2.E</t>
        </is>
      </c>
      <c r="C35" s="9" t="n">
        <v>2</v>
      </c>
      <c r="D35" s="9" t="inlineStr">
        <is>
          <t>リスクの特定と評価 (MAP)</t>
        </is>
      </c>
      <c r="E35" s="9" t="inlineStr">
        <is>
          <t>2.2</t>
        </is>
      </c>
      <c r="F35" s="9" t="inlineStr">
        <is>
          <t>リスクの分類と評価</t>
        </is>
      </c>
      <c r="G35" s="9" t="inlineStr">
        <is>
          <t>Required</t>
        </is>
      </c>
      <c r="H35" s="10" t="inlineStr">
        <is>
          <t>プライバシーリスクの評価がされている</t>
        </is>
      </c>
      <c r="I35" s="11" t="inlineStr">
        <is>
          <t>○</t>
        </is>
      </c>
      <c r="J35" s="11" t="inlineStr"/>
      <c r="K35" s="11" t="inlineStr">
        <is>
          <t>○</t>
        </is>
      </c>
      <c r="L35" s="11" t="inlineStr"/>
      <c r="M35" s="11" t="inlineStr"/>
      <c r="N35" s="11" t="inlineStr"/>
      <c r="O35" s="11" t="inlineStr"/>
      <c r="P35" s="8" t="inlineStr"/>
      <c r="Q35" s="8" t="inlineStr"/>
    </row>
    <row r="36">
      <c r="A36" s="4" t="inlineStr"/>
      <c r="B36" s="9" t="inlineStr">
        <is>
          <t>2.2.F</t>
        </is>
      </c>
      <c r="C36" s="9" t="n">
        <v>2</v>
      </c>
      <c r="D36" s="9" t="inlineStr">
        <is>
          <t>リスクの特定と評価 (MAP)</t>
        </is>
      </c>
      <c r="E36" s="9" t="inlineStr">
        <is>
          <t>2.2</t>
        </is>
      </c>
      <c r="F36" s="9" t="inlineStr">
        <is>
          <t>リスクの分類と評価</t>
        </is>
      </c>
      <c r="G36" s="9" t="inlineStr">
        <is>
          <t>Required</t>
        </is>
      </c>
      <c r="H36" s="10" t="inlineStr">
        <is>
          <t>セキュリティリスク（プロンプトインジェクション等）の評価がされている</t>
        </is>
      </c>
      <c r="I36" s="11" t="inlineStr"/>
      <c r="J36" s="11" t="inlineStr">
        <is>
          <t>○</t>
        </is>
      </c>
      <c r="K36" s="11" t="inlineStr"/>
      <c r="L36" s="11" t="inlineStr"/>
      <c r="M36" s="11" t="inlineStr">
        <is>
          <t>○</t>
        </is>
      </c>
      <c r="N36" s="11" t="inlineStr"/>
      <c r="O36" s="11" t="inlineStr"/>
      <c r="P36" s="8" t="inlineStr"/>
      <c r="Q36" s="8" t="inlineStr"/>
    </row>
    <row r="37">
      <c r="A37" s="4" t="inlineStr"/>
      <c r="B37" s="9" t="inlineStr">
        <is>
          <t>2.2.G</t>
        </is>
      </c>
      <c r="C37" s="9" t="n">
        <v>2</v>
      </c>
      <c r="D37" s="9" t="inlineStr">
        <is>
          <t>リスクの特定と評価 (MAP)</t>
        </is>
      </c>
      <c r="E37" s="9" t="inlineStr">
        <is>
          <t>2.2</t>
        </is>
      </c>
      <c r="F37" s="9" t="inlineStr">
        <is>
          <t>リスクの分類と評価</t>
        </is>
      </c>
      <c r="G37" s="9" t="inlineStr">
        <is>
          <t>Required</t>
        </is>
      </c>
      <c r="H37" s="10" t="inlineStr">
        <is>
          <t>法的リスク（契約違反、規制違反等）の評価がされている</t>
        </is>
      </c>
      <c r="I37" s="11" t="inlineStr">
        <is>
          <t>○</t>
        </is>
      </c>
      <c r="J37" s="11" t="inlineStr"/>
      <c r="K37" s="11" t="inlineStr">
        <is>
          <t>○</t>
        </is>
      </c>
      <c r="L37" s="11" t="inlineStr"/>
      <c r="M37" s="11" t="inlineStr"/>
      <c r="N37" s="11" t="inlineStr"/>
      <c r="O37" s="11" t="inlineStr"/>
      <c r="P37" s="8" t="inlineStr"/>
      <c r="Q37" s="8" t="inlineStr"/>
    </row>
    <row r="38">
      <c r="A38" s="4" t="inlineStr"/>
      <c r="B38" s="9" t="inlineStr">
        <is>
          <t>2.2.H</t>
        </is>
      </c>
      <c r="C38" s="9" t="n">
        <v>2</v>
      </c>
      <c r="D38" s="9" t="inlineStr">
        <is>
          <t>リスクの特定と評価 (MAP)</t>
        </is>
      </c>
      <c r="E38" s="9" t="inlineStr">
        <is>
          <t>2.2</t>
        </is>
      </c>
      <c r="F38" s="9" t="inlineStr">
        <is>
          <t>リスクの分類と評価</t>
        </is>
      </c>
      <c r="G38" s="9" t="inlineStr">
        <is>
          <t>Recommended</t>
        </is>
      </c>
      <c r="H38" s="10" t="inlineStr">
        <is>
          <t>レピュテーションリスクの評価がされている</t>
        </is>
      </c>
      <c r="I38" s="11" t="inlineStr">
        <is>
          <t>○</t>
        </is>
      </c>
      <c r="J38" s="11" t="inlineStr"/>
      <c r="K38" s="11" t="inlineStr"/>
      <c r="L38" s="11" t="inlineStr"/>
      <c r="M38" s="11" t="inlineStr"/>
      <c r="N38" s="11" t="inlineStr">
        <is>
          <t>○</t>
        </is>
      </c>
      <c r="O38" s="11" t="inlineStr"/>
      <c r="P38" s="8" t="inlineStr"/>
      <c r="Q38" s="8" t="inlineStr"/>
    </row>
    <row r="39">
      <c r="A39" s="4" t="inlineStr"/>
      <c r="B39" s="9" t="inlineStr">
        <is>
          <t>2.2.I</t>
        </is>
      </c>
      <c r="C39" s="9" t="n">
        <v>2</v>
      </c>
      <c r="D39" s="9" t="inlineStr">
        <is>
          <t>リスクの特定と評価 (MAP)</t>
        </is>
      </c>
      <c r="E39" s="9" t="inlineStr">
        <is>
          <t>2.2</t>
        </is>
      </c>
      <c r="F39" s="9" t="inlineStr">
        <is>
          <t>リスクの分類と評価</t>
        </is>
      </c>
      <c r="G39" s="9" t="inlineStr">
        <is>
          <t>Recommended</t>
        </is>
      </c>
      <c r="H39" s="10" t="inlineStr">
        <is>
          <t>業務依存リスク（過度な依存、スキル低下）の評価がされている</t>
        </is>
      </c>
      <c r="I39" s="11" t="inlineStr"/>
      <c r="J39" s="11" t="inlineStr">
        <is>
          <t>○</t>
        </is>
      </c>
      <c r="K39" s="11" t="inlineStr"/>
      <c r="L39" s="11" t="inlineStr"/>
      <c r="M39" s="11" t="inlineStr"/>
      <c r="N39" s="11" t="inlineStr">
        <is>
          <t>○</t>
        </is>
      </c>
      <c r="O39" s="11" t="inlineStr"/>
      <c r="P39" s="8" t="inlineStr"/>
      <c r="Q39" s="8" t="inlineStr"/>
    </row>
    <row r="40">
      <c r="A40" s="4" t="inlineStr"/>
      <c r="B40" s="9" t="inlineStr">
        <is>
          <t>2.2.J</t>
        </is>
      </c>
      <c r="C40" s="9" t="n">
        <v>2</v>
      </c>
      <c r="D40" s="9" t="inlineStr">
        <is>
          <t>リスクの特定と評価 (MAP)</t>
        </is>
      </c>
      <c r="E40" s="9" t="inlineStr">
        <is>
          <t>2.2</t>
        </is>
      </c>
      <c r="F40" s="9" t="inlineStr">
        <is>
          <t>リスクの分類と評価</t>
        </is>
      </c>
      <c r="G40" s="9" t="inlineStr">
        <is>
          <t>Option</t>
        </is>
      </c>
      <c r="H40" s="10" t="inlineStr">
        <is>
          <t>環境負荷・サステナビリティの考慮がされている</t>
        </is>
      </c>
      <c r="I40" s="11" t="inlineStr">
        <is>
          <t>○</t>
        </is>
      </c>
      <c r="J40" s="11" t="inlineStr"/>
      <c r="K40" s="11" t="inlineStr">
        <is>
          <t>○</t>
        </is>
      </c>
      <c r="L40" s="11" t="inlineStr"/>
      <c r="M40" s="11" t="inlineStr"/>
      <c r="N40" s="11" t="inlineStr"/>
      <c r="O40" s="11" t="inlineStr"/>
      <c r="P40" s="8" t="inlineStr"/>
      <c r="Q40" s="8" t="inlineStr"/>
    </row>
    <row r="41">
      <c r="A41" s="4" t="inlineStr"/>
      <c r="B41" s="9" t="inlineStr">
        <is>
          <t>2.3.A</t>
        </is>
      </c>
      <c r="C41" s="9" t="n">
        <v>2</v>
      </c>
      <c r="D41" s="9" t="inlineStr">
        <is>
          <t>リスクの特定と評価 (MAP)</t>
        </is>
      </c>
      <c r="E41" s="9" t="inlineStr">
        <is>
          <t>2.3</t>
        </is>
      </c>
      <c r="F41" s="9" t="inlineStr">
        <is>
          <t>サードパーティリスク</t>
        </is>
      </c>
      <c r="G41" s="9" t="inlineStr">
        <is>
          <t>Required</t>
        </is>
      </c>
      <c r="H41" s="10" t="inlineStr">
        <is>
          <t>利用するAIサービス・ツールの選定基準が定められている</t>
        </is>
      </c>
      <c r="I41" s="11" t="inlineStr">
        <is>
          <t>○</t>
        </is>
      </c>
      <c r="J41" s="11" t="inlineStr"/>
      <c r="K41" s="11" t="inlineStr"/>
      <c r="L41" s="11" t="inlineStr"/>
      <c r="M41" s="11" t="inlineStr">
        <is>
          <t>○</t>
        </is>
      </c>
      <c r="N41" s="11" t="inlineStr"/>
      <c r="O41" s="11" t="inlineStr"/>
      <c r="P41" s="8" t="inlineStr"/>
      <c r="Q41" s="8" t="inlineStr"/>
    </row>
    <row r="42">
      <c r="A42" s="4" t="inlineStr"/>
      <c r="B42" s="9" t="inlineStr">
        <is>
          <t>2.3.B</t>
        </is>
      </c>
      <c r="C42" s="9" t="n">
        <v>2</v>
      </c>
      <c r="D42" s="9" t="inlineStr">
        <is>
          <t>リスクの特定と評価 (MAP)</t>
        </is>
      </c>
      <c r="E42" s="9" t="inlineStr">
        <is>
          <t>2.3</t>
        </is>
      </c>
      <c r="F42" s="9" t="inlineStr">
        <is>
          <t>サードパーティリスク</t>
        </is>
      </c>
      <c r="G42" s="9" t="inlineStr">
        <is>
          <t>Required</t>
        </is>
      </c>
      <c r="H42" s="10" t="inlineStr">
        <is>
          <t>ベンダーの利用規約・プライバシーポリシーの確認プロセスがある</t>
        </is>
      </c>
      <c r="I42" s="11" t="inlineStr">
        <is>
          <t>○</t>
        </is>
      </c>
      <c r="J42" s="11" t="inlineStr"/>
      <c r="K42" s="11" t="inlineStr"/>
      <c r="L42" s="11" t="inlineStr">
        <is>
          <t>○</t>
        </is>
      </c>
      <c r="M42" s="11" t="inlineStr"/>
      <c r="N42" s="11" t="inlineStr"/>
      <c r="O42" s="11" t="inlineStr"/>
      <c r="P42" s="8" t="inlineStr"/>
      <c r="Q42" s="8" t="inlineStr"/>
    </row>
    <row r="43">
      <c r="A43" s="4" t="inlineStr"/>
      <c r="B43" s="9" t="inlineStr">
        <is>
          <t>2.3.C</t>
        </is>
      </c>
      <c r="C43" s="9" t="n">
        <v>2</v>
      </c>
      <c r="D43" s="9" t="inlineStr">
        <is>
          <t>リスクの特定と評価 (MAP)</t>
        </is>
      </c>
      <c r="E43" s="9" t="inlineStr">
        <is>
          <t>2.3</t>
        </is>
      </c>
      <c r="F43" s="9" t="inlineStr">
        <is>
          <t>サードパーティリスク</t>
        </is>
      </c>
      <c r="G43" s="9" t="inlineStr">
        <is>
          <t>Required</t>
        </is>
      </c>
      <c r="H43" s="10" t="inlineStr">
        <is>
          <t>データの取り扱い（学習利用の有無等）の確認がされている</t>
        </is>
      </c>
      <c r="I43" s="11" t="inlineStr"/>
      <c r="J43" s="11" t="inlineStr"/>
      <c r="K43" s="11" t="inlineStr"/>
      <c r="L43" s="11" t="inlineStr">
        <is>
          <t>○</t>
        </is>
      </c>
      <c r="M43" s="11" t="inlineStr">
        <is>
          <t>○</t>
        </is>
      </c>
      <c r="N43" s="11" t="inlineStr"/>
      <c r="O43" s="11" t="inlineStr"/>
      <c r="P43" s="8" t="inlineStr"/>
      <c r="Q43" s="8" t="inlineStr"/>
    </row>
    <row r="44">
      <c r="A44" s="4" t="inlineStr"/>
      <c r="B44" s="9" t="inlineStr">
        <is>
          <t>2.3.D</t>
        </is>
      </c>
      <c r="C44" s="9" t="n">
        <v>2</v>
      </c>
      <c r="D44" s="9" t="inlineStr">
        <is>
          <t>リスクの特定と評価 (MAP)</t>
        </is>
      </c>
      <c r="E44" s="9" t="inlineStr">
        <is>
          <t>2.3</t>
        </is>
      </c>
      <c r="F44" s="9" t="inlineStr">
        <is>
          <t>サードパーティリスク</t>
        </is>
      </c>
      <c r="G44" s="9" t="inlineStr">
        <is>
          <t>Recommended</t>
        </is>
      </c>
      <c r="H44" s="10" t="inlineStr">
        <is>
          <t>サービス停止・変更時の対応策が検討されている</t>
        </is>
      </c>
      <c r="I44" s="11" t="inlineStr">
        <is>
          <t>○</t>
        </is>
      </c>
      <c r="J44" s="11" t="inlineStr"/>
      <c r="K44" s="11" t="inlineStr"/>
      <c r="L44" s="11" t="inlineStr"/>
      <c r="M44" s="11" t="inlineStr"/>
      <c r="N44" s="11" t="inlineStr"/>
      <c r="O44" s="11" t="inlineStr"/>
      <c r="P44" s="8" t="inlineStr"/>
      <c r="Q44" s="8" t="inlineStr"/>
    </row>
    <row r="45">
      <c r="A45" s="4" t="inlineStr"/>
      <c r="B45" s="9" t="inlineStr">
        <is>
          <t>2.3.E</t>
        </is>
      </c>
      <c r="C45" s="9" t="n">
        <v>2</v>
      </c>
      <c r="D45" s="9" t="inlineStr">
        <is>
          <t>リスクの特定と評価 (MAP)</t>
        </is>
      </c>
      <c r="E45" s="9" t="inlineStr">
        <is>
          <t>2.3</t>
        </is>
      </c>
      <c r="F45" s="9" t="inlineStr">
        <is>
          <t>サードパーティリスク</t>
        </is>
      </c>
      <c r="G45" s="9" t="inlineStr">
        <is>
          <t>Option</t>
        </is>
      </c>
      <c r="H45" s="10" t="inlineStr">
        <is>
          <t>サプライチェーン全体でのリスク管理が考慮されている</t>
        </is>
      </c>
      <c r="I45" s="11" t="inlineStr">
        <is>
          <t>○</t>
        </is>
      </c>
      <c r="J45" s="11" t="inlineStr"/>
      <c r="K45" s="11" t="inlineStr"/>
      <c r="L45" s="11" t="inlineStr"/>
      <c r="M45" s="11" t="inlineStr"/>
      <c r="N45" s="11" t="inlineStr"/>
      <c r="O45" s="11" t="inlineStr">
        <is>
          <t>○</t>
        </is>
      </c>
      <c r="P45" s="8" t="inlineStr"/>
      <c r="Q45" s="8" t="inlineStr"/>
    </row>
    <row r="46">
      <c r="A46" s="4" t="inlineStr"/>
      <c r="B46" s="12" t="inlineStr">
        <is>
          <t>3.1.A</t>
        </is>
      </c>
      <c r="C46" s="12" t="n">
        <v>3</v>
      </c>
      <c r="D46" s="12" t="inlineStr">
        <is>
          <t>入力データの管理</t>
        </is>
      </c>
      <c r="E46" s="12" t="inlineStr">
        <is>
          <t>3.1</t>
        </is>
      </c>
      <c r="F46" s="12" t="inlineStr">
        <is>
          <t>入力禁止情報</t>
        </is>
      </c>
      <c r="G46" s="12" t="inlineStr">
        <is>
          <t>Required</t>
        </is>
      </c>
      <c r="H46" s="13" t="inlineStr">
        <is>
          <t>入力してはいけない情報の種類が明確にリスト化されている</t>
        </is>
      </c>
      <c r="I46" s="14" t="inlineStr"/>
      <c r="J46" s="14" t="inlineStr"/>
      <c r="K46" s="14" t="inlineStr"/>
      <c r="L46" s="14" t="inlineStr">
        <is>
          <t>○</t>
        </is>
      </c>
      <c r="M46" s="14" t="inlineStr"/>
      <c r="N46" s="14" t="inlineStr">
        <is>
          <t>○</t>
        </is>
      </c>
      <c r="O46" s="14" t="inlineStr"/>
      <c r="P46" s="8" t="inlineStr"/>
      <c r="Q46" s="8" t="inlineStr"/>
    </row>
    <row r="47">
      <c r="A47" s="4" t="inlineStr"/>
      <c r="B47" s="12" t="inlineStr">
        <is>
          <t>3.1.B</t>
        </is>
      </c>
      <c r="C47" s="12" t="n">
        <v>3</v>
      </c>
      <c r="D47" s="12" t="inlineStr">
        <is>
          <t>入力データの管理</t>
        </is>
      </c>
      <c r="E47" s="12" t="inlineStr">
        <is>
          <t>3.1</t>
        </is>
      </c>
      <c r="F47" s="12" t="inlineStr">
        <is>
          <t>入力禁止情報</t>
        </is>
      </c>
      <c r="G47" s="12" t="inlineStr">
        <is>
          <t>Required</t>
        </is>
      </c>
      <c r="H47" s="13" t="inlineStr">
        <is>
          <t>個人情報（氏名、住所、電話番号、メールアドレス等）</t>
        </is>
      </c>
      <c r="I47" s="14" t="inlineStr"/>
      <c r="J47" s="14" t="inlineStr"/>
      <c r="K47" s="14" t="inlineStr"/>
      <c r="L47" s="14" t="inlineStr">
        <is>
          <t>○</t>
        </is>
      </c>
      <c r="M47" s="14" t="inlineStr"/>
      <c r="N47" s="14" t="inlineStr">
        <is>
          <t>○</t>
        </is>
      </c>
      <c r="O47" s="14" t="inlineStr"/>
      <c r="P47" s="8" t="inlineStr"/>
      <c r="Q47" s="8" t="inlineStr"/>
    </row>
    <row r="48">
      <c r="A48" s="4" t="inlineStr"/>
      <c r="B48" s="12" t="inlineStr">
        <is>
          <t>3.1.C</t>
        </is>
      </c>
      <c r="C48" s="12" t="n">
        <v>3</v>
      </c>
      <c r="D48" s="12" t="inlineStr">
        <is>
          <t>入力データの管理</t>
        </is>
      </c>
      <c r="E48" s="12" t="inlineStr">
        <is>
          <t>3.1</t>
        </is>
      </c>
      <c r="F48" s="12" t="inlineStr">
        <is>
          <t>入力禁止情報</t>
        </is>
      </c>
      <c r="G48" s="12" t="inlineStr">
        <is>
          <t>Required</t>
        </is>
      </c>
      <c r="H48" s="13" t="inlineStr">
        <is>
          <t>機密情報（営業秘密、未公開情報、戦略情報等）</t>
        </is>
      </c>
      <c r="I48" s="14" t="inlineStr"/>
      <c r="J48" s="14" t="inlineStr"/>
      <c r="K48" s="14" t="inlineStr"/>
      <c r="L48" s="14" t="inlineStr">
        <is>
          <t>○</t>
        </is>
      </c>
      <c r="M48" s="14" t="inlineStr"/>
      <c r="N48" s="14" t="inlineStr">
        <is>
          <t>○</t>
        </is>
      </c>
      <c r="O48" s="14" t="inlineStr"/>
      <c r="P48" s="8" t="inlineStr"/>
      <c r="Q48" s="8" t="inlineStr"/>
    </row>
    <row r="49">
      <c r="A49" s="4" t="inlineStr"/>
      <c r="B49" s="12" t="inlineStr">
        <is>
          <t>3.1.D</t>
        </is>
      </c>
      <c r="C49" s="12" t="n">
        <v>3</v>
      </c>
      <c r="D49" s="12" t="inlineStr">
        <is>
          <t>入力データの管理</t>
        </is>
      </c>
      <c r="E49" s="12" t="inlineStr">
        <is>
          <t>3.1</t>
        </is>
      </c>
      <c r="F49" s="12" t="inlineStr">
        <is>
          <t>入力禁止情報</t>
        </is>
      </c>
      <c r="G49" s="12" t="inlineStr">
        <is>
          <t>Required</t>
        </is>
      </c>
      <c r="H49" s="13" t="inlineStr">
        <is>
          <t>顧客情報（取引先情報、契約内容等）</t>
        </is>
      </c>
      <c r="I49" s="14" t="inlineStr"/>
      <c r="J49" s="14" t="inlineStr"/>
      <c r="K49" s="14" t="inlineStr"/>
      <c r="L49" s="14" t="inlineStr">
        <is>
          <t>○</t>
        </is>
      </c>
      <c r="M49" s="14" t="inlineStr"/>
      <c r="N49" s="14" t="inlineStr">
        <is>
          <t>○</t>
        </is>
      </c>
      <c r="O49" s="14" t="inlineStr"/>
      <c r="P49" s="8" t="inlineStr"/>
      <c r="Q49" s="8" t="inlineStr"/>
    </row>
    <row r="50">
      <c r="A50" s="4" t="inlineStr"/>
      <c r="B50" s="12" t="inlineStr">
        <is>
          <t>3.1.E</t>
        </is>
      </c>
      <c r="C50" s="12" t="n">
        <v>3</v>
      </c>
      <c r="D50" s="12" t="inlineStr">
        <is>
          <t>入力データの管理</t>
        </is>
      </c>
      <c r="E50" s="12" t="inlineStr">
        <is>
          <t>3.1</t>
        </is>
      </c>
      <c r="F50" s="12" t="inlineStr">
        <is>
          <t>入力禁止情報</t>
        </is>
      </c>
      <c r="G50" s="12" t="inlineStr">
        <is>
          <t>Required</t>
        </is>
      </c>
      <c r="H50" s="13" t="inlineStr">
        <is>
          <t>認証情報（パスワード、APIキー、アクセストークン等）</t>
        </is>
      </c>
      <c r="I50" s="14" t="inlineStr"/>
      <c r="J50" s="14" t="inlineStr"/>
      <c r="K50" s="14" t="inlineStr"/>
      <c r="L50" s="14" t="inlineStr"/>
      <c r="M50" s="14" t="inlineStr">
        <is>
          <t>○</t>
        </is>
      </c>
      <c r="N50" s="14" t="inlineStr"/>
      <c r="O50" s="14" t="inlineStr"/>
      <c r="P50" s="8" t="inlineStr"/>
      <c r="Q50" s="8" t="inlineStr"/>
    </row>
    <row r="51">
      <c r="A51" s="4" t="inlineStr"/>
      <c r="B51" s="12" t="inlineStr">
        <is>
          <t>3.1.F</t>
        </is>
      </c>
      <c r="C51" s="12" t="n">
        <v>3</v>
      </c>
      <c r="D51" s="12" t="inlineStr">
        <is>
          <t>入力データの管理</t>
        </is>
      </c>
      <c r="E51" s="12" t="inlineStr">
        <is>
          <t>3.1</t>
        </is>
      </c>
      <c r="F51" s="12" t="inlineStr">
        <is>
          <t>入力禁止情報</t>
        </is>
      </c>
      <c r="G51" s="12" t="inlineStr">
        <is>
          <t>Required</t>
        </is>
      </c>
      <c r="H51" s="13" t="inlineStr">
        <is>
          <t>財務情報（未公開の決算情報、インサイダー情報等）</t>
        </is>
      </c>
      <c r="I51" s="14" t="inlineStr"/>
      <c r="J51" s="14" t="inlineStr"/>
      <c r="K51" s="14" t="inlineStr"/>
      <c r="L51" s="14" t="inlineStr">
        <is>
          <t>○</t>
        </is>
      </c>
      <c r="M51" s="14" t="inlineStr"/>
      <c r="N51" s="14" t="inlineStr"/>
      <c r="O51" s="14" t="inlineStr"/>
      <c r="P51" s="8" t="inlineStr"/>
      <c r="Q51" s="8" t="inlineStr"/>
    </row>
    <row r="52">
      <c r="A52" s="4" t="inlineStr"/>
      <c r="B52" s="12" t="inlineStr">
        <is>
          <t>3.1.G</t>
        </is>
      </c>
      <c r="C52" s="12" t="n">
        <v>3</v>
      </c>
      <c r="D52" s="12" t="inlineStr">
        <is>
          <t>入力データの管理</t>
        </is>
      </c>
      <c r="E52" s="12" t="inlineStr">
        <is>
          <t>3.1</t>
        </is>
      </c>
      <c r="F52" s="12" t="inlineStr">
        <is>
          <t>入力禁止情報</t>
        </is>
      </c>
      <c r="G52" s="12" t="inlineStr">
        <is>
          <t>Required</t>
        </is>
      </c>
      <c r="H52" s="13" t="inlineStr">
        <is>
          <t>人事情報（評価、給与、健康情報等）</t>
        </is>
      </c>
      <c r="I52" s="14" t="inlineStr"/>
      <c r="J52" s="14" t="inlineStr"/>
      <c r="K52" s="14" t="inlineStr"/>
      <c r="L52" s="14" t="inlineStr">
        <is>
          <t>○</t>
        </is>
      </c>
      <c r="M52" s="14" t="inlineStr"/>
      <c r="N52" s="14" t="inlineStr"/>
      <c r="O52" s="14" t="inlineStr"/>
      <c r="P52" s="8" t="inlineStr"/>
      <c r="Q52" s="8" t="inlineStr"/>
    </row>
    <row r="53">
      <c r="A53" s="4" t="inlineStr"/>
      <c r="B53" s="12" t="inlineStr">
        <is>
          <t>3.1.H</t>
        </is>
      </c>
      <c r="C53" s="12" t="n">
        <v>3</v>
      </c>
      <c r="D53" s="12" t="inlineStr">
        <is>
          <t>入力データの管理</t>
        </is>
      </c>
      <c r="E53" s="12" t="inlineStr">
        <is>
          <t>3.1</t>
        </is>
      </c>
      <c r="F53" s="12" t="inlineStr">
        <is>
          <t>入力禁止情報</t>
        </is>
      </c>
      <c r="G53" s="12" t="inlineStr">
        <is>
          <t>Required</t>
        </is>
      </c>
      <c r="H53" s="13" t="inlineStr">
        <is>
          <t>法的に保護された情報（弁護士秘匿特権対象情報等）</t>
        </is>
      </c>
      <c r="I53" s="14" t="inlineStr"/>
      <c r="J53" s="14" t="inlineStr"/>
      <c r="K53" s="14" t="inlineStr"/>
      <c r="L53" s="14" t="inlineStr">
        <is>
          <t>○</t>
        </is>
      </c>
      <c r="M53" s="14" t="inlineStr"/>
      <c r="N53" s="14" t="inlineStr"/>
      <c r="O53" s="14" t="inlineStr"/>
      <c r="P53" s="8" t="inlineStr"/>
      <c r="Q53" s="8" t="inlineStr"/>
    </row>
    <row r="54">
      <c r="A54" s="4" t="inlineStr"/>
      <c r="B54" s="12" t="inlineStr">
        <is>
          <t>3.2.A</t>
        </is>
      </c>
      <c r="C54" s="12" t="n">
        <v>3</v>
      </c>
      <c r="D54" s="12" t="inlineStr">
        <is>
          <t>入力データの管理</t>
        </is>
      </c>
      <c r="E54" s="12" t="inlineStr">
        <is>
          <t>3.2</t>
        </is>
      </c>
      <c r="F54" s="12" t="inlineStr">
        <is>
          <t>データ分類と取り扱い</t>
        </is>
      </c>
      <c r="G54" s="12" t="inlineStr">
        <is>
          <t>Required</t>
        </is>
      </c>
      <c r="H54" s="13" t="inlineStr">
        <is>
          <t>情報の機密度分類に応じた利用可否基準がある</t>
        </is>
      </c>
      <c r="I54" s="14" t="inlineStr"/>
      <c r="J54" s="14" t="inlineStr"/>
      <c r="K54" s="14" t="inlineStr"/>
      <c r="L54" s="14" t="inlineStr">
        <is>
          <t>○</t>
        </is>
      </c>
      <c r="M54" s="14" t="inlineStr">
        <is>
          <t>○</t>
        </is>
      </c>
      <c r="N54" s="14" t="inlineStr"/>
      <c r="O54" s="14" t="inlineStr"/>
      <c r="P54" s="8" t="inlineStr"/>
      <c r="Q54" s="8" t="inlineStr"/>
    </row>
    <row r="55">
      <c r="A55" s="4" t="inlineStr"/>
      <c r="B55" s="12" t="inlineStr">
        <is>
          <t>3.2.B</t>
        </is>
      </c>
      <c r="C55" s="12" t="n">
        <v>3</v>
      </c>
      <c r="D55" s="12" t="inlineStr">
        <is>
          <t>入力データの管理</t>
        </is>
      </c>
      <c r="E55" s="12" t="inlineStr">
        <is>
          <t>3.2</t>
        </is>
      </c>
      <c r="F55" s="12" t="inlineStr">
        <is>
          <t>データ分類と取り扱い</t>
        </is>
      </c>
      <c r="G55" s="12" t="inlineStr">
        <is>
          <t>Required</t>
        </is>
      </c>
      <c r="H55" s="13" t="inlineStr">
        <is>
          <t>匿名化・仮名化のガイダンスが提供されている</t>
        </is>
      </c>
      <c r="I55" s="14" t="inlineStr"/>
      <c r="J55" s="14" t="inlineStr"/>
      <c r="K55" s="14" t="inlineStr">
        <is>
          <t>○</t>
        </is>
      </c>
      <c r="L55" s="14" t="inlineStr">
        <is>
          <t>○</t>
        </is>
      </c>
      <c r="M55" s="14" t="inlineStr"/>
      <c r="N55" s="14" t="inlineStr"/>
      <c r="O55" s="14" t="inlineStr"/>
      <c r="P55" s="8" t="inlineStr"/>
      <c r="Q55" s="8" t="inlineStr"/>
    </row>
    <row r="56">
      <c r="A56" s="4" t="inlineStr"/>
      <c r="B56" s="12" t="inlineStr">
        <is>
          <t>3.2.C</t>
        </is>
      </c>
      <c r="C56" s="12" t="n">
        <v>3</v>
      </c>
      <c r="D56" s="12" t="inlineStr">
        <is>
          <t>入力データの管理</t>
        </is>
      </c>
      <c r="E56" s="12" t="inlineStr">
        <is>
          <t>3.2</t>
        </is>
      </c>
      <c r="F56" s="12" t="inlineStr">
        <is>
          <t>データ分類と取り扱い</t>
        </is>
      </c>
      <c r="G56" s="12" t="inlineStr">
        <is>
          <t>Required</t>
        </is>
      </c>
      <c r="H56" s="13" t="inlineStr">
        <is>
          <t>第三者から受領した情報の取り扱いルールがある</t>
        </is>
      </c>
      <c r="I56" s="14" t="inlineStr"/>
      <c r="J56" s="14" t="inlineStr"/>
      <c r="K56" s="14" t="inlineStr"/>
      <c r="L56" s="14" t="inlineStr">
        <is>
          <t>○</t>
        </is>
      </c>
      <c r="M56" s="14" t="inlineStr"/>
      <c r="N56" s="14" t="inlineStr"/>
      <c r="O56" s="14" t="inlineStr"/>
      <c r="P56" s="8" t="inlineStr"/>
      <c r="Q56" s="8" t="inlineStr"/>
    </row>
    <row r="57">
      <c r="A57" s="4" t="inlineStr"/>
      <c r="B57" s="12" t="inlineStr">
        <is>
          <t>3.2.D</t>
        </is>
      </c>
      <c r="C57" s="12" t="n">
        <v>3</v>
      </c>
      <c r="D57" s="12" t="inlineStr">
        <is>
          <t>入力データの管理</t>
        </is>
      </c>
      <c r="E57" s="12" t="inlineStr">
        <is>
          <t>3.2</t>
        </is>
      </c>
      <c r="F57" s="12" t="inlineStr">
        <is>
          <t>データ分類と取り扱い</t>
        </is>
      </c>
      <c r="G57" s="12" t="inlineStr">
        <is>
          <t>Required</t>
        </is>
      </c>
      <c r="H57" s="13" t="inlineStr">
        <is>
          <t>契約上の守秘義務との整合性が確認されている</t>
        </is>
      </c>
      <c r="I57" s="14" t="inlineStr"/>
      <c r="J57" s="14" t="inlineStr"/>
      <c r="K57" s="14" t="inlineStr"/>
      <c r="L57" s="14" t="inlineStr">
        <is>
          <t>○</t>
        </is>
      </c>
      <c r="M57" s="14" t="inlineStr"/>
      <c r="N57" s="14" t="inlineStr"/>
      <c r="O57" s="14" t="inlineStr"/>
      <c r="P57" s="8" t="inlineStr"/>
      <c r="Q57" s="8" t="inlineStr"/>
    </row>
    <row r="58">
      <c r="A58" s="4" t="inlineStr"/>
      <c r="B58" s="12" t="inlineStr">
        <is>
          <t>3.3.A</t>
        </is>
      </c>
      <c r="C58" s="12" t="n">
        <v>3</v>
      </c>
      <c r="D58" s="12" t="inlineStr">
        <is>
          <t>入力データの管理</t>
        </is>
      </c>
      <c r="E58" s="12" t="inlineStr">
        <is>
          <t>3.3</t>
        </is>
      </c>
      <c r="F58" s="12" t="inlineStr">
        <is>
          <t>個人情報保護</t>
        </is>
      </c>
      <c r="G58" s="12" t="inlineStr">
        <is>
          <t>Required</t>
        </is>
      </c>
      <c r="H58" s="13" t="inlineStr">
        <is>
          <t>個人データの入力に関する具体的なルールがある</t>
        </is>
      </c>
      <c r="I58" s="14" t="inlineStr"/>
      <c r="J58" s="14" t="inlineStr"/>
      <c r="K58" s="14" t="inlineStr">
        <is>
          <t>○</t>
        </is>
      </c>
      <c r="L58" s="14" t="inlineStr">
        <is>
          <t>○</t>
        </is>
      </c>
      <c r="M58" s="14" t="inlineStr"/>
      <c r="N58" s="14" t="inlineStr"/>
      <c r="O58" s="14" t="inlineStr"/>
      <c r="P58" s="8" t="inlineStr"/>
      <c r="Q58" s="8" t="inlineStr"/>
    </row>
    <row r="59">
      <c r="A59" s="4" t="inlineStr"/>
      <c r="B59" s="12" t="inlineStr">
        <is>
          <t>3.3.B</t>
        </is>
      </c>
      <c r="C59" s="12" t="n">
        <v>3</v>
      </c>
      <c r="D59" s="12" t="inlineStr">
        <is>
          <t>入力データの管理</t>
        </is>
      </c>
      <c r="E59" s="12" t="inlineStr">
        <is>
          <t>3.3</t>
        </is>
      </c>
      <c r="F59" s="12" t="inlineStr">
        <is>
          <t>個人情報保護</t>
        </is>
      </c>
      <c r="G59" s="12" t="inlineStr">
        <is>
          <t>Required</t>
        </is>
      </c>
      <c r="H59" s="13" t="inlineStr">
        <is>
          <t>本人同意の要否・取得方法が明記されている</t>
        </is>
      </c>
      <c r="I59" s="14" t="inlineStr"/>
      <c r="J59" s="14" t="inlineStr"/>
      <c r="K59" s="14" t="inlineStr">
        <is>
          <t>○</t>
        </is>
      </c>
      <c r="L59" s="14" t="inlineStr">
        <is>
          <t>○</t>
        </is>
      </c>
      <c r="M59" s="14" t="inlineStr"/>
      <c r="N59" s="14" t="inlineStr"/>
      <c r="O59" s="14" t="inlineStr"/>
      <c r="P59" s="8" t="inlineStr"/>
      <c r="Q59" s="8" t="inlineStr"/>
    </row>
    <row r="60">
      <c r="A60" s="4" t="inlineStr"/>
      <c r="B60" s="12" t="inlineStr">
        <is>
          <t>3.3.C</t>
        </is>
      </c>
      <c r="C60" s="12" t="n">
        <v>3</v>
      </c>
      <c r="D60" s="12" t="inlineStr">
        <is>
          <t>入力データの管理</t>
        </is>
      </c>
      <c r="E60" s="12" t="inlineStr">
        <is>
          <t>3.3</t>
        </is>
      </c>
      <c r="F60" s="12" t="inlineStr">
        <is>
          <t>個人情報保護</t>
        </is>
      </c>
      <c r="G60" s="12" t="inlineStr">
        <is>
          <t>Required</t>
        </is>
      </c>
      <c r="H60" s="13" t="inlineStr">
        <is>
          <t>委託先への提供に該当するかの判断基準がある</t>
        </is>
      </c>
      <c r="I60" s="14" t="inlineStr"/>
      <c r="J60" s="14" t="inlineStr"/>
      <c r="K60" s="14" t="inlineStr">
        <is>
          <t>○</t>
        </is>
      </c>
      <c r="L60" s="14" t="inlineStr">
        <is>
          <t>○</t>
        </is>
      </c>
      <c r="M60" s="14" t="inlineStr"/>
      <c r="N60" s="14" t="inlineStr"/>
      <c r="O60" s="14" t="inlineStr"/>
      <c r="P60" s="8" t="inlineStr"/>
      <c r="Q60" s="8" t="inlineStr"/>
    </row>
    <row r="61">
      <c r="A61" s="4" t="inlineStr"/>
      <c r="B61" s="12" t="inlineStr">
        <is>
          <t>3.3.D</t>
        </is>
      </c>
      <c r="C61" s="12" t="n">
        <v>3</v>
      </c>
      <c r="D61" s="12" t="inlineStr">
        <is>
          <t>入力データの管理</t>
        </is>
      </c>
      <c r="E61" s="12" t="inlineStr">
        <is>
          <t>3.3</t>
        </is>
      </c>
      <c r="F61" s="12" t="inlineStr">
        <is>
          <t>個人情報保護</t>
        </is>
      </c>
      <c r="G61" s="12" t="inlineStr">
        <is>
          <t>Required</t>
        </is>
      </c>
      <c r="H61" s="13" t="inlineStr">
        <is>
          <t>越境移転（海外サーバー利用）への対応が検討されている</t>
        </is>
      </c>
      <c r="I61" s="14" t="inlineStr"/>
      <c r="J61" s="14" t="inlineStr"/>
      <c r="K61" s="14" t="inlineStr">
        <is>
          <t>○</t>
        </is>
      </c>
      <c r="L61" s="14" t="inlineStr"/>
      <c r="M61" s="14" t="inlineStr"/>
      <c r="N61" s="14" t="inlineStr"/>
      <c r="O61" s="14" t="inlineStr">
        <is>
          <t>○</t>
        </is>
      </c>
      <c r="P61" s="8" t="inlineStr"/>
      <c r="Q61" s="8" t="inlineStr"/>
    </row>
    <row r="62">
      <c r="A62" s="4" t="inlineStr"/>
      <c r="B62" s="15" t="inlineStr">
        <is>
          <t>4.1.A</t>
        </is>
      </c>
      <c r="C62" s="15" t="n">
        <v>4</v>
      </c>
      <c r="D62" s="15" t="inlineStr">
        <is>
          <t>出力の管理と利用</t>
        </is>
      </c>
      <c r="E62" s="15" t="inlineStr">
        <is>
          <t>4.1</t>
        </is>
      </c>
      <c r="F62" s="15" t="inlineStr">
        <is>
          <t>出力の検証義務</t>
        </is>
      </c>
      <c r="G62" s="15" t="inlineStr">
        <is>
          <t>Required</t>
        </is>
      </c>
      <c r="H62" s="16" t="inlineStr">
        <is>
          <t>出力内容の正確性確認（ファクトチェック）が義務付けられている</t>
        </is>
      </c>
      <c r="I62" s="17" t="inlineStr">
        <is>
          <t>○</t>
        </is>
      </c>
      <c r="J62" s="17" t="inlineStr"/>
      <c r="K62" s="17" t="inlineStr"/>
      <c r="L62" s="17" t="inlineStr">
        <is>
          <t>○</t>
        </is>
      </c>
      <c r="M62" s="17" t="inlineStr"/>
      <c r="N62" s="17" t="inlineStr">
        <is>
          <t>○</t>
        </is>
      </c>
      <c r="O62" s="17" t="inlineStr"/>
      <c r="P62" s="8" t="inlineStr"/>
      <c r="Q62" s="8" t="inlineStr"/>
    </row>
    <row r="63">
      <c r="A63" s="4" t="inlineStr"/>
      <c r="B63" s="15" t="inlineStr">
        <is>
          <t>4.1.B</t>
        </is>
      </c>
      <c r="C63" s="15" t="n">
        <v>4</v>
      </c>
      <c r="D63" s="15" t="inlineStr">
        <is>
          <t>出力の管理と利用</t>
        </is>
      </c>
      <c r="E63" s="15" t="inlineStr">
        <is>
          <t>4.1</t>
        </is>
      </c>
      <c r="F63" s="15" t="inlineStr">
        <is>
          <t>出力の検証義務</t>
        </is>
      </c>
      <c r="G63" s="15" t="inlineStr">
        <is>
          <t>Required</t>
        </is>
      </c>
      <c r="H63" s="16" t="inlineStr">
        <is>
          <t>専門分野（法務、財務、技術等）における専門家レビューの要否基準がある</t>
        </is>
      </c>
      <c r="I63" s="17" t="inlineStr">
        <is>
          <t>○</t>
        </is>
      </c>
      <c r="J63" s="17" t="inlineStr"/>
      <c r="K63" s="17" t="inlineStr"/>
      <c r="L63" s="17" t="inlineStr">
        <is>
          <t>○</t>
        </is>
      </c>
      <c r="M63" s="17" t="inlineStr"/>
      <c r="N63" s="17" t="inlineStr"/>
      <c r="O63" s="17" t="inlineStr"/>
      <c r="P63" s="8" t="inlineStr"/>
      <c r="Q63" s="8" t="inlineStr"/>
    </row>
    <row r="64">
      <c r="A64" s="4" t="inlineStr"/>
      <c r="B64" s="15" t="inlineStr">
        <is>
          <t>4.1.C</t>
        </is>
      </c>
      <c r="C64" s="15" t="n">
        <v>4</v>
      </c>
      <c r="D64" s="15" t="inlineStr">
        <is>
          <t>出力の管理と利用</t>
        </is>
      </c>
      <c r="E64" s="15" t="inlineStr">
        <is>
          <t>4.1</t>
        </is>
      </c>
      <c r="F64" s="15" t="inlineStr">
        <is>
          <t>出力の検証義務</t>
        </is>
      </c>
      <c r="G64" s="15" t="inlineStr">
        <is>
          <t>Required</t>
        </is>
      </c>
      <c r="H64" s="16" t="inlineStr">
        <is>
          <t>出力をそのまま使用してはいけない場面が明記されている</t>
        </is>
      </c>
      <c r="I64" s="17" t="inlineStr"/>
      <c r="J64" s="17" t="inlineStr"/>
      <c r="K64" s="17" t="inlineStr"/>
      <c r="L64" s="17" t="inlineStr">
        <is>
          <t>○</t>
        </is>
      </c>
      <c r="M64" s="17" t="inlineStr"/>
      <c r="N64" s="17" t="inlineStr">
        <is>
          <t>○</t>
        </is>
      </c>
      <c r="O64" s="17" t="inlineStr"/>
      <c r="P64" s="8" t="inlineStr"/>
      <c r="Q64" s="8" t="inlineStr"/>
    </row>
    <row r="65">
      <c r="A65" s="4" t="inlineStr"/>
      <c r="B65" s="15" t="inlineStr">
        <is>
          <t>4.1.D</t>
        </is>
      </c>
      <c r="C65" s="15" t="n">
        <v>4</v>
      </c>
      <c r="D65" s="15" t="inlineStr">
        <is>
          <t>出力の管理と利用</t>
        </is>
      </c>
      <c r="E65" s="15" t="inlineStr">
        <is>
          <t>4.1</t>
        </is>
      </c>
      <c r="F65" s="15" t="inlineStr">
        <is>
          <t>出力の検証義務</t>
        </is>
      </c>
      <c r="G65" s="15" t="inlineStr">
        <is>
          <t>Required</t>
        </is>
      </c>
      <c r="H65" s="16" t="inlineStr">
        <is>
          <t>人間による最終確認・承認プロセスがある</t>
        </is>
      </c>
      <c r="I65" s="17" t="inlineStr">
        <is>
          <t>○</t>
        </is>
      </c>
      <c r="J65" s="17" t="inlineStr"/>
      <c r="K65" s="17" t="inlineStr">
        <is>
          <t>○</t>
        </is>
      </c>
      <c r="L65" s="17" t="inlineStr"/>
      <c r="M65" s="17" t="inlineStr"/>
      <c r="N65" s="17" t="inlineStr"/>
      <c r="O65" s="17" t="inlineStr"/>
      <c r="P65" s="8" t="inlineStr"/>
      <c r="Q65" s="8" t="inlineStr"/>
    </row>
    <row r="66">
      <c r="A66" s="4" t="inlineStr"/>
      <c r="B66" s="15" t="inlineStr">
        <is>
          <t>4.2.A</t>
        </is>
      </c>
      <c r="C66" s="15" t="n">
        <v>4</v>
      </c>
      <c r="D66" s="15" t="inlineStr">
        <is>
          <t>出力の管理と利用</t>
        </is>
      </c>
      <c r="E66" s="15" t="inlineStr">
        <is>
          <t>4.2</t>
        </is>
      </c>
      <c r="F66" s="15" t="inlineStr">
        <is>
          <t>著作権・知的財産</t>
        </is>
      </c>
      <c r="G66" s="15" t="inlineStr">
        <is>
          <t>Required</t>
        </is>
      </c>
      <c r="H66" s="16" t="inlineStr">
        <is>
          <t>生成物の著作権の帰属に関する考え方が示されている</t>
        </is>
      </c>
      <c r="I66" s="17" t="inlineStr"/>
      <c r="J66" s="17" t="inlineStr"/>
      <c r="K66" s="17" t="inlineStr">
        <is>
          <t>○</t>
        </is>
      </c>
      <c r="L66" s="17" t="inlineStr">
        <is>
          <t>○</t>
        </is>
      </c>
      <c r="M66" s="17" t="inlineStr"/>
      <c r="N66" s="17" t="inlineStr"/>
      <c r="O66" s="17" t="inlineStr"/>
      <c r="P66" s="8" t="inlineStr"/>
      <c r="Q66" s="8" t="inlineStr"/>
    </row>
    <row r="67">
      <c r="A67" s="4" t="inlineStr"/>
      <c r="B67" s="15" t="inlineStr">
        <is>
          <t>4.2.B</t>
        </is>
      </c>
      <c r="C67" s="15" t="n">
        <v>4</v>
      </c>
      <c r="D67" s="15" t="inlineStr">
        <is>
          <t>出力の管理と利用</t>
        </is>
      </c>
      <c r="E67" s="15" t="inlineStr">
        <is>
          <t>4.2</t>
        </is>
      </c>
      <c r="F67" s="15" t="inlineStr">
        <is>
          <t>著作権・知的財産</t>
        </is>
      </c>
      <c r="G67" s="15" t="inlineStr">
        <is>
          <t>Required</t>
        </is>
      </c>
      <c r="H67" s="16" t="inlineStr">
        <is>
          <t>既存著作物との類似性チェックの必要性が言及されている</t>
        </is>
      </c>
      <c r="I67" s="17" t="inlineStr"/>
      <c r="J67" s="17" t="inlineStr"/>
      <c r="K67" s="17" t="inlineStr"/>
      <c r="L67" s="17" t="inlineStr">
        <is>
          <t>○</t>
        </is>
      </c>
      <c r="M67" s="17" t="inlineStr"/>
      <c r="N67" s="17" t="inlineStr">
        <is>
          <t>○</t>
        </is>
      </c>
      <c r="O67" s="17" t="inlineStr"/>
      <c r="P67" s="8" t="inlineStr"/>
      <c r="Q67" s="8" t="inlineStr"/>
    </row>
    <row r="68">
      <c r="A68" s="4" t="inlineStr"/>
      <c r="B68" s="15" t="inlineStr">
        <is>
          <t>4.2.C</t>
        </is>
      </c>
      <c r="C68" s="15" t="n">
        <v>4</v>
      </c>
      <c r="D68" s="15" t="inlineStr">
        <is>
          <t>出力の管理と利用</t>
        </is>
      </c>
      <c r="E68" s="15" t="inlineStr">
        <is>
          <t>4.2</t>
        </is>
      </c>
      <c r="F68" s="15" t="inlineStr">
        <is>
          <t>著作権・知的財産</t>
        </is>
      </c>
      <c r="G68" s="15" t="inlineStr">
        <is>
          <t>Recommended</t>
        </is>
      </c>
      <c r="H68" s="16" t="inlineStr">
        <is>
          <t>商用利用時の追加確認事項が定められている</t>
        </is>
      </c>
      <c r="I68" s="17" t="inlineStr"/>
      <c r="J68" s="17" t="inlineStr"/>
      <c r="K68" s="17" t="inlineStr"/>
      <c r="L68" s="17" t="inlineStr">
        <is>
          <t>○</t>
        </is>
      </c>
      <c r="M68" s="17" t="inlineStr"/>
      <c r="N68" s="17" t="inlineStr"/>
      <c r="O68" s="17" t="inlineStr"/>
      <c r="P68" s="8" t="inlineStr"/>
      <c r="Q68" s="8" t="inlineStr"/>
    </row>
    <row r="69">
      <c r="A69" s="4" t="inlineStr"/>
      <c r="B69" s="15" t="inlineStr">
        <is>
          <t>4.2.D</t>
        </is>
      </c>
      <c r="C69" s="15" t="n">
        <v>4</v>
      </c>
      <c r="D69" s="15" t="inlineStr">
        <is>
          <t>出力の管理と利用</t>
        </is>
      </c>
      <c r="E69" s="15" t="inlineStr">
        <is>
          <t>4.2</t>
        </is>
      </c>
      <c r="F69" s="15" t="inlineStr">
        <is>
          <t>著作権・知的財産</t>
        </is>
      </c>
      <c r="G69" s="15" t="inlineStr">
        <is>
          <t>Option</t>
        </is>
      </c>
      <c r="H69" s="16" t="inlineStr">
        <is>
          <t>画像・音声・動画生成時の特別な注意事項がある</t>
        </is>
      </c>
      <c r="I69" s="17" t="inlineStr"/>
      <c r="J69" s="17" t="inlineStr"/>
      <c r="K69" s="17" t="inlineStr"/>
      <c r="L69" s="17" t="inlineStr">
        <is>
          <t>○</t>
        </is>
      </c>
      <c r="M69" s="17" t="inlineStr"/>
      <c r="N69" s="17" t="inlineStr"/>
      <c r="O69" s="17" t="inlineStr">
        <is>
          <t>○</t>
        </is>
      </c>
      <c r="P69" s="8" t="inlineStr"/>
      <c r="Q69" s="8" t="inlineStr"/>
    </row>
    <row r="70">
      <c r="A70" s="4" t="inlineStr"/>
      <c r="B70" s="15" t="inlineStr">
        <is>
          <t>4.3.A</t>
        </is>
      </c>
      <c r="C70" s="15" t="n">
        <v>4</v>
      </c>
      <c r="D70" s="15" t="inlineStr">
        <is>
          <t>出力の管理と利用</t>
        </is>
      </c>
      <c r="E70" s="15" t="inlineStr">
        <is>
          <t>4.3</t>
        </is>
      </c>
      <c r="F70" s="15" t="inlineStr">
        <is>
          <t>出力の表示・開示</t>
        </is>
      </c>
      <c r="G70" s="15" t="inlineStr">
        <is>
          <t>Required</t>
        </is>
      </c>
      <c r="H70" s="16" t="inlineStr">
        <is>
          <t>AI生成コンテンツであることの表示要否の基準がある</t>
        </is>
      </c>
      <c r="I70" s="17" t="inlineStr"/>
      <c r="J70" s="17" t="inlineStr"/>
      <c r="K70" s="17" t="inlineStr">
        <is>
          <t>○</t>
        </is>
      </c>
      <c r="L70" s="17" t="inlineStr"/>
      <c r="M70" s="17" t="inlineStr"/>
      <c r="N70" s="17" t="inlineStr"/>
      <c r="O70" s="17" t="inlineStr">
        <is>
          <t>○</t>
        </is>
      </c>
      <c r="P70" s="8" t="inlineStr"/>
      <c r="Q70" s="8" t="inlineStr"/>
    </row>
    <row r="71">
      <c r="A71" s="4" t="inlineStr"/>
      <c r="B71" s="15" t="inlineStr">
        <is>
          <t>4.3.B</t>
        </is>
      </c>
      <c r="C71" s="15" t="n">
        <v>4</v>
      </c>
      <c r="D71" s="15" t="inlineStr">
        <is>
          <t>出力の管理と利用</t>
        </is>
      </c>
      <c r="E71" s="15" t="inlineStr">
        <is>
          <t>4.3</t>
        </is>
      </c>
      <c r="F71" s="15" t="inlineStr">
        <is>
          <t>出力の表示・開示</t>
        </is>
      </c>
      <c r="G71" s="15" t="inlineStr">
        <is>
          <t>Required</t>
        </is>
      </c>
      <c r="H71" s="16" t="inlineStr">
        <is>
          <t>社外向け資料でのAI利用に関するルールがある</t>
        </is>
      </c>
      <c r="I71" s="17" t="inlineStr"/>
      <c r="J71" s="17" t="inlineStr"/>
      <c r="K71" s="17" t="inlineStr"/>
      <c r="L71" s="17" t="inlineStr">
        <is>
          <t>○</t>
        </is>
      </c>
      <c r="M71" s="17" t="inlineStr"/>
      <c r="N71" s="17" t="inlineStr"/>
      <c r="O71" s="17" t="inlineStr"/>
      <c r="P71" s="8" t="inlineStr"/>
      <c r="Q71" s="8" t="inlineStr"/>
    </row>
    <row r="72">
      <c r="A72" s="4" t="inlineStr"/>
      <c r="B72" s="15" t="inlineStr">
        <is>
          <t>4.3.C</t>
        </is>
      </c>
      <c r="C72" s="15" t="n">
        <v>4</v>
      </c>
      <c r="D72" s="15" t="inlineStr">
        <is>
          <t>出力の管理と利用</t>
        </is>
      </c>
      <c r="E72" s="15" t="inlineStr">
        <is>
          <t>4.3</t>
        </is>
      </c>
      <c r="F72" s="15" t="inlineStr">
        <is>
          <t>出力の表示・開示</t>
        </is>
      </c>
      <c r="G72" s="15" t="inlineStr">
        <is>
          <t>Required</t>
        </is>
      </c>
      <c r="H72" s="16" t="inlineStr">
        <is>
          <t>顧客・取引先への説明責任に関する指針がある</t>
        </is>
      </c>
      <c r="I72" s="17" t="inlineStr">
        <is>
          <t>○</t>
        </is>
      </c>
      <c r="J72" s="17" t="inlineStr"/>
      <c r="K72" s="17" t="inlineStr">
        <is>
          <t>○</t>
        </is>
      </c>
      <c r="L72" s="17" t="inlineStr"/>
      <c r="M72" s="17" t="inlineStr"/>
      <c r="N72" s="17" t="inlineStr"/>
      <c r="O72" s="17" t="inlineStr"/>
      <c r="P72" s="8" t="inlineStr"/>
      <c r="Q72" s="8" t="inlineStr"/>
    </row>
    <row r="73">
      <c r="A73" s="4" t="inlineStr"/>
      <c r="B73" s="15" t="inlineStr">
        <is>
          <t>4.3.D</t>
        </is>
      </c>
      <c r="C73" s="15" t="n">
        <v>4</v>
      </c>
      <c r="D73" s="15" t="inlineStr">
        <is>
          <t>出力の管理と利用</t>
        </is>
      </c>
      <c r="E73" s="15" t="inlineStr">
        <is>
          <t>4.3</t>
        </is>
      </c>
      <c r="F73" s="15" t="inlineStr">
        <is>
          <t>出力の表示・開示</t>
        </is>
      </c>
      <c r="G73" s="15" t="inlineStr">
        <is>
          <t>Option</t>
        </is>
      </c>
      <c r="H73" s="16" t="inlineStr">
        <is>
          <t>ディープフェイク等の合成コンテンツへの対応がある</t>
        </is>
      </c>
      <c r="I73" s="17" t="inlineStr"/>
      <c r="J73" s="17" t="inlineStr"/>
      <c r="K73" s="17" t="inlineStr"/>
      <c r="L73" s="17" t="inlineStr"/>
      <c r="M73" s="17" t="inlineStr"/>
      <c r="N73" s="17" t="inlineStr"/>
      <c r="O73" s="17" t="inlineStr">
        <is>
          <t>○</t>
        </is>
      </c>
      <c r="P73" s="8" t="inlineStr"/>
      <c r="Q73" s="8" t="inlineStr"/>
    </row>
    <row r="74">
      <c r="A74" s="4" t="inlineStr"/>
      <c r="B74" s="15" t="inlineStr">
        <is>
          <t>4.4.A</t>
        </is>
      </c>
      <c r="C74" s="15" t="n">
        <v>4</v>
      </c>
      <c r="D74" s="15" t="inlineStr">
        <is>
          <t>出力の管理と利用</t>
        </is>
      </c>
      <c r="E74" s="15" t="inlineStr">
        <is>
          <t>4.4</t>
        </is>
      </c>
      <c r="F74" s="15" t="inlineStr">
        <is>
          <t>品質管理</t>
        </is>
      </c>
      <c r="G74" s="15" t="inlineStr">
        <is>
          <t>Required</t>
        </is>
      </c>
      <c r="H74" s="16" t="inlineStr">
        <is>
          <t>重要度に応じた承認プロセスが定められている</t>
        </is>
      </c>
      <c r="I74" s="17" t="inlineStr">
        <is>
          <t>○</t>
        </is>
      </c>
      <c r="J74" s="17" t="inlineStr"/>
      <c r="K74" s="17" t="inlineStr"/>
      <c r="L74" s="17" t="inlineStr">
        <is>
          <t>○</t>
        </is>
      </c>
      <c r="M74" s="17" t="inlineStr"/>
      <c r="N74" s="17" t="inlineStr"/>
      <c r="O74" s="17" t="inlineStr"/>
      <c r="P74" s="8" t="inlineStr"/>
      <c r="Q74" s="8" t="inlineStr"/>
    </row>
    <row r="75">
      <c r="A75" s="4" t="inlineStr"/>
      <c r="B75" s="15" t="inlineStr">
        <is>
          <t>4.4.B</t>
        </is>
      </c>
      <c r="C75" s="15" t="n">
        <v>4</v>
      </c>
      <c r="D75" s="15" t="inlineStr">
        <is>
          <t>出力の管理と利用</t>
        </is>
      </c>
      <c r="E75" s="15" t="inlineStr">
        <is>
          <t>4.4</t>
        </is>
      </c>
      <c r="F75" s="15" t="inlineStr">
        <is>
          <t>品質管理</t>
        </is>
      </c>
      <c r="G75" s="15" t="inlineStr">
        <is>
          <t>Option</t>
        </is>
      </c>
      <c r="H75" s="16" t="inlineStr">
        <is>
          <t>出力の記録・保存に関するルールがある</t>
        </is>
      </c>
      <c r="I75" s="17" t="inlineStr">
        <is>
          <t>○</t>
        </is>
      </c>
      <c r="J75" s="17" t="inlineStr"/>
      <c r="K75" s="17" t="inlineStr"/>
      <c r="L75" s="17" t="inlineStr"/>
      <c r="M75" s="17" t="inlineStr">
        <is>
          <t>○</t>
        </is>
      </c>
      <c r="N75" s="17" t="inlineStr"/>
      <c r="O75" s="17" t="inlineStr"/>
      <c r="P75" s="8" t="inlineStr"/>
      <c r="Q75" s="8" t="inlineStr"/>
    </row>
    <row r="76">
      <c r="A76" s="4" t="inlineStr"/>
      <c r="B76" s="15" t="inlineStr">
        <is>
          <t>4.4.C</t>
        </is>
      </c>
      <c r="C76" s="15" t="n">
        <v>4</v>
      </c>
      <c r="D76" s="15" t="inlineStr">
        <is>
          <t>出力の管理と利用</t>
        </is>
      </c>
      <c r="E76" s="15" t="inlineStr">
        <is>
          <t>4.4</t>
        </is>
      </c>
      <c r="F76" s="15" t="inlineStr">
        <is>
          <t>品質管理</t>
        </is>
      </c>
      <c r="G76" s="15" t="inlineStr">
        <is>
          <t>Option</t>
        </is>
      </c>
      <c r="H76" s="16" t="inlineStr">
        <is>
          <t>問題のある出力を発見した場合の報告プロセスがある</t>
        </is>
      </c>
      <c r="I76" s="17" t="inlineStr">
        <is>
          <t>○</t>
        </is>
      </c>
      <c r="J76" s="17" t="inlineStr"/>
      <c r="K76" s="17" t="inlineStr"/>
      <c r="L76" s="17" t="inlineStr">
        <is>
          <t>○</t>
        </is>
      </c>
      <c r="M76" s="17" t="inlineStr"/>
      <c r="N76" s="17" t="inlineStr"/>
      <c r="O76" s="17" t="inlineStr"/>
      <c r="P76" s="8" t="inlineStr"/>
      <c r="Q76" s="8" t="inlineStr"/>
    </row>
    <row r="77">
      <c r="A77" s="4" t="inlineStr"/>
      <c r="B77" s="18" t="inlineStr">
        <is>
          <t>5.1.A</t>
        </is>
      </c>
      <c r="C77" s="18" t="n">
        <v>5</v>
      </c>
      <c r="D77" s="18" t="inlineStr">
        <is>
          <t>信頼性の確保 (Trustworthiness)</t>
        </is>
      </c>
      <c r="E77" s="18" t="inlineStr">
        <is>
          <t>5.1</t>
        </is>
      </c>
      <c r="F77" s="18" t="inlineStr">
        <is>
          <t>正確性・信頼性 (Valid &amp; Reliable)</t>
        </is>
      </c>
      <c r="G77" s="18" t="inlineStr">
        <is>
          <t>Required</t>
        </is>
      </c>
      <c r="H77" s="19" t="inlineStr">
        <is>
          <t>ハルシネーションへの対処方法が具体的に示されている</t>
        </is>
      </c>
      <c r="I77" s="20" t="inlineStr"/>
      <c r="J77" s="20" t="inlineStr">
        <is>
          <t>○</t>
        </is>
      </c>
      <c r="K77" s="20" t="inlineStr"/>
      <c r="L77" s="20" t="inlineStr">
        <is>
          <t>○</t>
        </is>
      </c>
      <c r="M77" s="20" t="inlineStr"/>
      <c r="N77" s="20" t="inlineStr">
        <is>
          <t>○</t>
        </is>
      </c>
      <c r="O77" s="20" t="inlineStr"/>
      <c r="P77" s="8" t="inlineStr"/>
      <c r="Q77" s="8" t="inlineStr"/>
    </row>
    <row r="78">
      <c r="A78" s="4" t="inlineStr"/>
      <c r="B78" s="18" t="inlineStr">
        <is>
          <t>5.1.B</t>
        </is>
      </c>
      <c r="C78" s="18" t="n">
        <v>5</v>
      </c>
      <c r="D78" s="18" t="inlineStr">
        <is>
          <t>信頼性の確保 (Trustworthiness)</t>
        </is>
      </c>
      <c r="E78" s="18" t="inlineStr">
        <is>
          <t>5.1</t>
        </is>
      </c>
      <c r="F78" s="18" t="inlineStr">
        <is>
          <t>正確性・信頼性 (Valid &amp; Reliable)</t>
        </is>
      </c>
      <c r="G78" s="18" t="inlineStr">
        <is>
          <t>Required</t>
        </is>
      </c>
      <c r="H78" s="19" t="inlineStr">
        <is>
          <t>生成AIの限界・不得意分野が説明されている</t>
        </is>
      </c>
      <c r="I78" s="20" t="inlineStr">
        <is>
          <t>○</t>
        </is>
      </c>
      <c r="J78" s="20" t="inlineStr"/>
      <c r="K78" s="20" t="inlineStr"/>
      <c r="L78" s="20" t="inlineStr"/>
      <c r="M78" s="20" t="inlineStr"/>
      <c r="N78" s="20" t="inlineStr">
        <is>
          <t>○</t>
        </is>
      </c>
      <c r="O78" s="20" t="inlineStr"/>
      <c r="P78" s="8" t="inlineStr"/>
      <c r="Q78" s="8" t="inlineStr"/>
    </row>
    <row r="79">
      <c r="A79" s="4" t="inlineStr"/>
      <c r="B79" s="18" t="inlineStr">
        <is>
          <t>5.1.C</t>
        </is>
      </c>
      <c r="C79" s="18" t="n">
        <v>5</v>
      </c>
      <c r="D79" s="18" t="inlineStr">
        <is>
          <t>信頼性の確保 (Trustworthiness)</t>
        </is>
      </c>
      <c r="E79" s="18" t="inlineStr">
        <is>
          <t>5.1</t>
        </is>
      </c>
      <c r="F79" s="18" t="inlineStr">
        <is>
          <t>正確性・信頼性 (Valid &amp; Reliable)</t>
        </is>
      </c>
      <c r="G79" s="18" t="inlineStr">
        <is>
          <t>Recommended</t>
        </is>
      </c>
      <c r="H79" s="19" t="inlineStr">
        <is>
          <t>出力の信頼度を判断するためのガイダンスがある</t>
        </is>
      </c>
      <c r="I79" s="20" t="inlineStr">
        <is>
          <t>○</t>
        </is>
      </c>
      <c r="J79" s="20" t="inlineStr"/>
      <c r="K79" s="20" t="inlineStr"/>
      <c r="L79" s="20" t="inlineStr"/>
      <c r="M79" s="20" t="inlineStr"/>
      <c r="N79" s="20" t="inlineStr"/>
      <c r="O79" s="20" t="inlineStr"/>
      <c r="P79" s="8" t="inlineStr"/>
      <c r="Q79" s="8" t="inlineStr"/>
    </row>
    <row r="80">
      <c r="A80" s="4" t="inlineStr"/>
      <c r="B80" s="18" t="inlineStr">
        <is>
          <t>5.1.D</t>
        </is>
      </c>
      <c r="C80" s="18" t="n">
        <v>5</v>
      </c>
      <c r="D80" s="18" t="inlineStr">
        <is>
          <t>信頼性の確保 (Trustworthiness)</t>
        </is>
      </c>
      <c r="E80" s="18" t="inlineStr">
        <is>
          <t>5.1</t>
        </is>
      </c>
      <c r="F80" s="18" t="inlineStr">
        <is>
          <t>正確性・信頼性 (Valid &amp; Reliable)</t>
        </is>
      </c>
      <c r="G80" s="18" t="inlineStr">
        <is>
          <t>Option</t>
        </is>
      </c>
      <c r="H80" s="19" t="inlineStr">
        <is>
          <t>継続的なテスト・検証の仕組みがある</t>
        </is>
      </c>
      <c r="I80" s="20" t="inlineStr">
        <is>
          <t>○</t>
        </is>
      </c>
      <c r="J80" s="20" t="inlineStr"/>
      <c r="K80" s="20" t="inlineStr"/>
      <c r="L80" s="20" t="inlineStr"/>
      <c r="M80" s="20" t="inlineStr"/>
      <c r="N80" s="20" t="inlineStr"/>
      <c r="O80" s="20" t="inlineStr"/>
      <c r="P80" s="8" t="inlineStr"/>
      <c r="Q80" s="8" t="inlineStr"/>
    </row>
    <row r="81">
      <c r="A81" s="4" t="inlineStr"/>
      <c r="B81" s="18" t="inlineStr">
        <is>
          <t>5.2.A</t>
        </is>
      </c>
      <c r="C81" s="18" t="n">
        <v>5</v>
      </c>
      <c r="D81" s="18" t="inlineStr">
        <is>
          <t>信頼性の確保 (Trustworthiness)</t>
        </is>
      </c>
      <c r="E81" s="18" t="inlineStr">
        <is>
          <t>5.2</t>
        </is>
      </c>
      <c r="F81" s="18" t="inlineStr">
        <is>
          <t>安全性 (Safe)</t>
        </is>
      </c>
      <c r="G81" s="18" t="inlineStr">
        <is>
          <t>Required</t>
        </is>
      </c>
      <c r="H81" s="19" t="inlineStr">
        <is>
          <t>安全に関わる業務での利用制限が明記されている</t>
        </is>
      </c>
      <c r="I81" s="20" t="inlineStr">
        <is>
          <t>○</t>
        </is>
      </c>
      <c r="J81" s="20" t="inlineStr"/>
      <c r="K81" s="20" t="inlineStr">
        <is>
          <t>○</t>
        </is>
      </c>
      <c r="L81" s="20" t="inlineStr"/>
      <c r="M81" s="20" t="inlineStr"/>
      <c r="N81" s="20" t="inlineStr"/>
      <c r="O81" s="20" t="inlineStr"/>
      <c r="P81" s="8" t="inlineStr"/>
      <c r="Q81" s="8" t="inlineStr"/>
    </row>
    <row r="82">
      <c r="A82" s="4" t="inlineStr"/>
      <c r="B82" s="18" t="inlineStr">
        <is>
          <t>5.2.B</t>
        </is>
      </c>
      <c r="C82" s="18" t="n">
        <v>5</v>
      </c>
      <c r="D82" s="18" t="inlineStr">
        <is>
          <t>信頼性の確保 (Trustworthiness)</t>
        </is>
      </c>
      <c r="E82" s="18" t="inlineStr">
        <is>
          <t>5.2</t>
        </is>
      </c>
      <c r="F82" s="18" t="inlineStr">
        <is>
          <t>安全性 (Safe)</t>
        </is>
      </c>
      <c r="G82" s="18" t="inlineStr">
        <is>
          <t>Required</t>
        </is>
      </c>
      <c r="H82" s="19" t="inlineStr">
        <is>
          <t>人間の最終判断を要する場面が特定されている</t>
        </is>
      </c>
      <c r="I82" s="20" t="inlineStr">
        <is>
          <t>○</t>
        </is>
      </c>
      <c r="J82" s="20" t="inlineStr"/>
      <c r="K82" s="20" t="inlineStr">
        <is>
          <t>○</t>
        </is>
      </c>
      <c r="L82" s="20" t="inlineStr"/>
      <c r="M82" s="20" t="inlineStr"/>
      <c r="N82" s="20" t="inlineStr"/>
      <c r="O82" s="20" t="inlineStr"/>
      <c r="P82" s="8" t="inlineStr"/>
      <c r="Q82" s="8" t="inlineStr"/>
    </row>
    <row r="83">
      <c r="A83" s="4" t="inlineStr"/>
      <c r="B83" s="18" t="inlineStr">
        <is>
          <t>5.2.C</t>
        </is>
      </c>
      <c r="C83" s="18" t="n">
        <v>5</v>
      </c>
      <c r="D83" s="18" t="inlineStr">
        <is>
          <t>信頼性の確保 (Trustworthiness)</t>
        </is>
      </c>
      <c r="E83" s="18" t="inlineStr">
        <is>
          <t>5.2</t>
        </is>
      </c>
      <c r="F83" s="18" t="inlineStr">
        <is>
          <t>安全性 (Safe)</t>
        </is>
      </c>
      <c r="G83" s="18" t="inlineStr">
        <is>
          <t>Recommended</t>
        </is>
      </c>
      <c r="H83" s="19" t="inlineStr">
        <is>
          <t>緊急停止・利用中止の基準と手順がある</t>
        </is>
      </c>
      <c r="I83" s="20" t="inlineStr">
        <is>
          <t>○</t>
        </is>
      </c>
      <c r="J83" s="20" t="inlineStr"/>
      <c r="K83" s="20" t="inlineStr"/>
      <c r="L83" s="20" t="inlineStr"/>
      <c r="M83" s="20" t="inlineStr"/>
      <c r="N83" s="20" t="inlineStr"/>
      <c r="O83" s="20" t="inlineStr"/>
      <c r="P83" s="8" t="inlineStr"/>
      <c r="Q83" s="8" t="inlineStr"/>
    </row>
    <row r="84">
      <c r="A84" s="4" t="inlineStr"/>
      <c r="B84" s="18" t="inlineStr">
        <is>
          <t>5.2.D</t>
        </is>
      </c>
      <c r="C84" s="18" t="n">
        <v>5</v>
      </c>
      <c r="D84" s="18" t="inlineStr">
        <is>
          <t>信頼性の確保 (Trustworthiness)</t>
        </is>
      </c>
      <c r="E84" s="18" t="inlineStr">
        <is>
          <t>5.2</t>
        </is>
      </c>
      <c r="F84" s="18" t="inlineStr">
        <is>
          <t>安全性 (Safe)</t>
        </is>
      </c>
      <c r="G84" s="18" t="inlineStr">
        <is>
          <t>Option</t>
        </is>
      </c>
      <c r="H84" s="19" t="inlineStr">
        <is>
          <t>残存リスクの文書化がされている</t>
        </is>
      </c>
      <c r="I84" s="20" t="inlineStr">
        <is>
          <t>○</t>
        </is>
      </c>
      <c r="J84" s="20" t="inlineStr"/>
      <c r="K84" s="20" t="inlineStr"/>
      <c r="L84" s="20" t="inlineStr"/>
      <c r="M84" s="20" t="inlineStr"/>
      <c r="N84" s="20" t="inlineStr"/>
      <c r="O84" s="20" t="inlineStr"/>
      <c r="P84" s="8" t="inlineStr"/>
      <c r="Q84" s="8" t="inlineStr"/>
    </row>
    <row r="85">
      <c r="A85" s="4" t="inlineStr"/>
      <c r="B85" s="18" t="inlineStr">
        <is>
          <t>5.3.A</t>
        </is>
      </c>
      <c r="C85" s="18" t="n">
        <v>5</v>
      </c>
      <c r="D85" s="18" t="inlineStr">
        <is>
          <t>信頼性の確保 (Trustworthiness)</t>
        </is>
      </c>
      <c r="E85" s="18" t="inlineStr">
        <is>
          <t>5.3</t>
        </is>
      </c>
      <c r="F85" s="18" t="inlineStr">
        <is>
          <t>セキュリティ・レジリエンス (Secure &amp; Resilient)</t>
        </is>
      </c>
      <c r="G85" s="18" t="inlineStr">
        <is>
          <t>Required</t>
        </is>
      </c>
      <c r="H85" s="19" t="inlineStr">
        <is>
          <t>承認されたツール・サービスのリストがある</t>
        </is>
      </c>
      <c r="I85" s="20" t="inlineStr"/>
      <c r="J85" s="20" t="inlineStr"/>
      <c r="K85" s="20" t="inlineStr"/>
      <c r="L85" s="20" t="inlineStr">
        <is>
          <t>○</t>
        </is>
      </c>
      <c r="M85" s="20" t="inlineStr">
        <is>
          <t>○</t>
        </is>
      </c>
      <c r="N85" s="20" t="inlineStr"/>
      <c r="O85" s="20" t="inlineStr"/>
      <c r="P85" s="8" t="inlineStr"/>
      <c r="Q85" s="8" t="inlineStr"/>
    </row>
    <row r="86">
      <c r="A86" s="4" t="inlineStr"/>
      <c r="B86" s="18" t="inlineStr">
        <is>
          <t>5.3.B</t>
        </is>
      </c>
      <c r="C86" s="18" t="n">
        <v>5</v>
      </c>
      <c r="D86" s="18" t="inlineStr">
        <is>
          <t>信頼性の確保 (Trustworthiness)</t>
        </is>
      </c>
      <c r="E86" s="18" t="inlineStr">
        <is>
          <t>5.3</t>
        </is>
      </c>
      <c r="F86" s="18" t="inlineStr">
        <is>
          <t>セキュリティ・レジリエンス (Secure &amp; Resilient)</t>
        </is>
      </c>
      <c r="G86" s="18" t="inlineStr">
        <is>
          <t>Required</t>
        </is>
      </c>
      <c r="H86" s="19" t="inlineStr">
        <is>
          <t>未承認ツールの利用禁止が明記されている</t>
        </is>
      </c>
      <c r="I86" s="20" t="inlineStr"/>
      <c r="J86" s="20" t="inlineStr"/>
      <c r="K86" s="20" t="inlineStr"/>
      <c r="L86" s="20" t="inlineStr">
        <is>
          <t>○</t>
        </is>
      </c>
      <c r="M86" s="20" t="inlineStr">
        <is>
          <t>○</t>
        </is>
      </c>
      <c r="N86" s="20" t="inlineStr"/>
      <c r="O86" s="20" t="inlineStr"/>
      <c r="P86" s="8" t="inlineStr"/>
      <c r="Q86" s="8" t="inlineStr"/>
    </row>
    <row r="87">
      <c r="A87" s="4" t="inlineStr"/>
      <c r="B87" s="18" t="inlineStr">
        <is>
          <t>5.3.C</t>
        </is>
      </c>
      <c r="C87" s="18" t="n">
        <v>5</v>
      </c>
      <c r="D87" s="18" t="inlineStr">
        <is>
          <t>信頼性の確保 (Trustworthiness)</t>
        </is>
      </c>
      <c r="E87" s="18" t="inlineStr">
        <is>
          <t>5.3</t>
        </is>
      </c>
      <c r="F87" s="18" t="inlineStr">
        <is>
          <t>セキュリティ・レジリエンス (Secure &amp; Resilient)</t>
        </is>
      </c>
      <c r="G87" s="18" t="inlineStr">
        <is>
          <t>Required</t>
        </is>
      </c>
      <c r="H87" s="19" t="inlineStr">
        <is>
          <t>アカウント管理（共有禁止、MFA等）のルールがある</t>
        </is>
      </c>
      <c r="I87" s="20" t="inlineStr"/>
      <c r="J87" s="20" t="inlineStr"/>
      <c r="K87" s="20" t="inlineStr"/>
      <c r="L87" s="20" t="inlineStr"/>
      <c r="M87" s="20" t="inlineStr">
        <is>
          <t>○</t>
        </is>
      </c>
      <c r="N87" s="20" t="inlineStr"/>
      <c r="O87" s="20" t="inlineStr"/>
      <c r="P87" s="8" t="inlineStr"/>
      <c r="Q87" s="8" t="inlineStr"/>
    </row>
    <row r="88">
      <c r="A88" s="4" t="inlineStr"/>
      <c r="B88" s="18" t="inlineStr">
        <is>
          <t>5.3.D</t>
        </is>
      </c>
      <c r="C88" s="18" t="n">
        <v>5</v>
      </c>
      <c r="D88" s="18" t="inlineStr">
        <is>
          <t>信頼性の確保 (Trustworthiness)</t>
        </is>
      </c>
      <c r="E88" s="18" t="inlineStr">
        <is>
          <t>5.3</t>
        </is>
      </c>
      <c r="F88" s="18" t="inlineStr">
        <is>
          <t>セキュリティ・レジリエンス (Secure &amp; Resilient)</t>
        </is>
      </c>
      <c r="G88" s="18" t="inlineStr">
        <is>
          <t>Recommended</t>
        </is>
      </c>
      <c r="H88" s="19" t="inlineStr">
        <is>
          <t>プロンプトインジェクション等の攻撃への注意喚起がある</t>
        </is>
      </c>
      <c r="I88" s="20" t="inlineStr"/>
      <c r="J88" s="20" t="inlineStr">
        <is>
          <t>○</t>
        </is>
      </c>
      <c r="K88" s="20" t="inlineStr"/>
      <c r="L88" s="20" t="inlineStr"/>
      <c r="M88" s="20" t="inlineStr">
        <is>
          <t>○</t>
        </is>
      </c>
      <c r="N88" s="20" t="inlineStr"/>
      <c r="O88" s="20" t="inlineStr"/>
      <c r="P88" s="8" t="inlineStr"/>
      <c r="Q88" s="8" t="inlineStr"/>
    </row>
    <row r="89">
      <c r="A89" s="4" t="inlineStr"/>
      <c r="B89" s="18" t="inlineStr">
        <is>
          <t>5.3.E</t>
        </is>
      </c>
      <c r="C89" s="18" t="n">
        <v>5</v>
      </c>
      <c r="D89" s="18" t="inlineStr">
        <is>
          <t>信頼性の確保 (Trustworthiness)</t>
        </is>
      </c>
      <c r="E89" s="18" t="inlineStr">
        <is>
          <t>5.3</t>
        </is>
      </c>
      <c r="F89" s="18" t="inlineStr">
        <is>
          <t>セキュリティ・レジリエンス (Secure &amp; Resilient)</t>
        </is>
      </c>
      <c r="G89" s="18" t="inlineStr">
        <is>
          <t>Option</t>
        </is>
      </c>
      <c r="H89" s="19" t="inlineStr">
        <is>
          <t>API利用時のセキュリティ要件が定められている</t>
        </is>
      </c>
      <c r="I89" s="20" t="inlineStr"/>
      <c r="J89" s="20" t="inlineStr"/>
      <c r="K89" s="20" t="inlineStr"/>
      <c r="L89" s="20" t="inlineStr"/>
      <c r="M89" s="20" t="inlineStr">
        <is>
          <t>○</t>
        </is>
      </c>
      <c r="N89" s="20" t="inlineStr"/>
      <c r="O89" s="20" t="inlineStr"/>
      <c r="P89" s="8" t="inlineStr"/>
      <c r="Q89" s="8" t="inlineStr"/>
    </row>
    <row r="90">
      <c r="A90" s="4" t="inlineStr"/>
      <c r="B90" s="18" t="inlineStr">
        <is>
          <t>5.3.F</t>
        </is>
      </c>
      <c r="C90" s="18" t="n">
        <v>5</v>
      </c>
      <c r="D90" s="18" t="inlineStr">
        <is>
          <t>信頼性の確保 (Trustworthiness)</t>
        </is>
      </c>
      <c r="E90" s="18" t="inlineStr">
        <is>
          <t>5.3</t>
        </is>
      </c>
      <c r="F90" s="18" t="inlineStr">
        <is>
          <t>セキュリティ・レジリエンス (Secure &amp; Resilient)</t>
        </is>
      </c>
      <c r="G90" s="18" t="inlineStr">
        <is>
          <t>Option</t>
        </is>
      </c>
      <c r="H90" s="19" t="inlineStr">
        <is>
          <t>データポイズニングへの対策が考慮されている</t>
        </is>
      </c>
      <c r="I90" s="20" t="inlineStr"/>
      <c r="J90" s="20" t="inlineStr">
        <is>
          <t>○</t>
        </is>
      </c>
      <c r="K90" s="20" t="inlineStr"/>
      <c r="L90" s="20" t="inlineStr"/>
      <c r="M90" s="20" t="inlineStr"/>
      <c r="N90" s="20" t="inlineStr"/>
      <c r="O90" s="20" t="inlineStr"/>
      <c r="P90" s="8" t="inlineStr"/>
      <c r="Q90" s="8" t="inlineStr"/>
    </row>
    <row r="91">
      <c r="A91" s="4" t="inlineStr"/>
      <c r="B91" s="18" t="inlineStr">
        <is>
          <t>5.3.G</t>
        </is>
      </c>
      <c r="C91" s="18" t="n">
        <v>5</v>
      </c>
      <c r="D91" s="18" t="inlineStr">
        <is>
          <t>信頼性の確保 (Trustworthiness)</t>
        </is>
      </c>
      <c r="E91" s="18" t="inlineStr">
        <is>
          <t>5.3</t>
        </is>
      </c>
      <c r="F91" s="18" t="inlineStr">
        <is>
          <t>セキュリティ・レジリエンス (Secure &amp; Resilient)</t>
        </is>
      </c>
      <c r="G91" s="18" t="inlineStr">
        <is>
          <t>Option</t>
        </is>
      </c>
      <c r="H91" s="19" t="inlineStr">
        <is>
          <t>モデル抽出・メンバーシップ推論攻撃への対策がある</t>
        </is>
      </c>
      <c r="I91" s="20" t="inlineStr"/>
      <c r="J91" s="20" t="inlineStr">
        <is>
          <t>○</t>
        </is>
      </c>
      <c r="K91" s="20" t="inlineStr"/>
      <c r="L91" s="20" t="inlineStr"/>
      <c r="M91" s="20" t="inlineStr"/>
      <c r="N91" s="20" t="inlineStr"/>
      <c r="O91" s="20" t="inlineStr"/>
      <c r="P91" s="8" t="inlineStr"/>
      <c r="Q91" s="8" t="inlineStr"/>
    </row>
    <row r="92">
      <c r="A92" s="4" t="inlineStr"/>
      <c r="B92" s="18" t="inlineStr">
        <is>
          <t>5.4.A</t>
        </is>
      </c>
      <c r="C92" s="18" t="n">
        <v>5</v>
      </c>
      <c r="D92" s="18" t="inlineStr">
        <is>
          <t>信頼性の確保 (Trustworthiness)</t>
        </is>
      </c>
      <c r="E92" s="18" t="inlineStr">
        <is>
          <t>5.4</t>
        </is>
      </c>
      <c r="F92" s="18" t="inlineStr">
        <is>
          <t>透明性・説明責任 (Accountable &amp; Transparent)</t>
        </is>
      </c>
      <c r="G92" s="18" t="inlineStr">
        <is>
          <t>Option</t>
        </is>
      </c>
      <c r="H92" s="19" t="inlineStr">
        <is>
          <t>AI利用の記録・ログ保存の要件がある</t>
        </is>
      </c>
      <c r="I92" s="20" t="inlineStr">
        <is>
          <t>○</t>
        </is>
      </c>
      <c r="J92" s="20" t="inlineStr"/>
      <c r="K92" s="20" t="inlineStr">
        <is>
          <t>○</t>
        </is>
      </c>
      <c r="L92" s="20" t="inlineStr"/>
      <c r="M92" s="20" t="inlineStr"/>
      <c r="N92" s="20" t="inlineStr"/>
      <c r="O92" s="20" t="inlineStr">
        <is>
          <t>○</t>
        </is>
      </c>
      <c r="P92" s="8" t="inlineStr"/>
      <c r="Q92" s="8" t="inlineStr"/>
    </row>
    <row r="93">
      <c r="A93" s="4" t="inlineStr"/>
      <c r="B93" s="18" t="inlineStr">
        <is>
          <t>5.4.B</t>
        </is>
      </c>
      <c r="C93" s="18" t="n">
        <v>5</v>
      </c>
      <c r="D93" s="18" t="inlineStr">
        <is>
          <t>信頼性の確保 (Trustworthiness)</t>
        </is>
      </c>
      <c r="E93" s="18" t="inlineStr">
        <is>
          <t>5.4</t>
        </is>
      </c>
      <c r="F93" s="18" t="inlineStr">
        <is>
          <t>透明性・説明責任 (Accountable &amp; Transparent)</t>
        </is>
      </c>
      <c r="G93" s="18" t="inlineStr">
        <is>
          <t>Required</t>
        </is>
      </c>
      <c r="H93" s="19" t="inlineStr">
        <is>
          <t>意思決定過程の説明責任に関する指針がある</t>
        </is>
      </c>
      <c r="I93" s="20" t="inlineStr">
        <is>
          <t>○</t>
        </is>
      </c>
      <c r="J93" s="20" t="inlineStr"/>
      <c r="K93" s="20" t="inlineStr">
        <is>
          <t>○</t>
        </is>
      </c>
      <c r="L93" s="20" t="inlineStr"/>
      <c r="M93" s="20" t="inlineStr"/>
      <c r="N93" s="20" t="inlineStr"/>
      <c r="O93" s="20" t="inlineStr"/>
      <c r="P93" s="8" t="inlineStr"/>
      <c r="Q93" s="8" t="inlineStr"/>
    </row>
    <row r="94">
      <c r="A94" s="4" t="inlineStr"/>
      <c r="B94" s="18" t="inlineStr">
        <is>
          <t>5.4.C</t>
        </is>
      </c>
      <c r="C94" s="18" t="n">
        <v>5</v>
      </c>
      <c r="D94" s="18" t="inlineStr">
        <is>
          <t>信頼性の確保 (Trustworthiness)</t>
        </is>
      </c>
      <c r="E94" s="18" t="inlineStr">
        <is>
          <t>5.4</t>
        </is>
      </c>
      <c r="F94" s="18" t="inlineStr">
        <is>
          <t>透明性・説明責任 (Accountable &amp; Transparent)</t>
        </is>
      </c>
      <c r="G94" s="18" t="inlineStr">
        <is>
          <t>Recommended</t>
        </is>
      </c>
      <c r="H94" s="19" t="inlineStr">
        <is>
          <t>ステークホルダーへの情報開示方針がある</t>
        </is>
      </c>
      <c r="I94" s="20" t="inlineStr">
        <is>
          <t>○</t>
        </is>
      </c>
      <c r="J94" s="20" t="inlineStr"/>
      <c r="K94" s="20" t="inlineStr">
        <is>
          <t>○</t>
        </is>
      </c>
      <c r="L94" s="20" t="inlineStr"/>
      <c r="M94" s="20" t="inlineStr"/>
      <c r="N94" s="20" t="inlineStr"/>
      <c r="O94" s="20" t="inlineStr"/>
      <c r="P94" s="8" t="inlineStr"/>
      <c r="Q94" s="8" t="inlineStr"/>
    </row>
    <row r="95">
      <c r="A95" s="4" t="inlineStr"/>
      <c r="B95" s="18" t="inlineStr">
        <is>
          <t>5.4.D</t>
        </is>
      </c>
      <c r="C95" s="18" t="n">
        <v>5</v>
      </c>
      <c r="D95" s="18" t="inlineStr">
        <is>
          <t>信頼性の確保 (Trustworthiness)</t>
        </is>
      </c>
      <c r="E95" s="18" t="inlineStr">
        <is>
          <t>5.4</t>
        </is>
      </c>
      <c r="F95" s="18" t="inlineStr">
        <is>
          <t>透明性・説明責任 (Accountable &amp; Transparent)</t>
        </is>
      </c>
      <c r="G95" s="18" t="inlineStr">
        <is>
          <t>Option</t>
        </is>
      </c>
      <c r="H95" s="19" t="inlineStr">
        <is>
          <t>学習データの出所（プロベナンス）の確認がある</t>
        </is>
      </c>
      <c r="I95" s="20" t="inlineStr"/>
      <c r="J95" s="20" t="inlineStr">
        <is>
          <t>○</t>
        </is>
      </c>
      <c r="K95" s="20" t="inlineStr"/>
      <c r="L95" s="20" t="inlineStr"/>
      <c r="M95" s="20" t="inlineStr"/>
      <c r="N95" s="20" t="inlineStr"/>
      <c r="O95" s="20" t="inlineStr"/>
      <c r="P95" s="8" t="inlineStr"/>
      <c r="Q95" s="8" t="inlineStr"/>
    </row>
    <row r="96">
      <c r="A96" s="4" t="inlineStr"/>
      <c r="B96" s="18" t="inlineStr">
        <is>
          <t>5.5.A</t>
        </is>
      </c>
      <c r="C96" s="18" t="n">
        <v>5</v>
      </c>
      <c r="D96" s="18" t="inlineStr">
        <is>
          <t>信頼性の確保 (Trustworthiness)</t>
        </is>
      </c>
      <c r="E96" s="18" t="inlineStr">
        <is>
          <t>5.5</t>
        </is>
      </c>
      <c r="F96" s="18" t="inlineStr">
        <is>
          <t>説明可能性 (Explainable &amp; Interpretable)</t>
        </is>
      </c>
      <c r="G96" s="18" t="inlineStr">
        <is>
          <t>Required</t>
        </is>
      </c>
      <c r="H96" s="19" t="inlineStr">
        <is>
          <t>AI出力の根拠について説明を要する場面が特定されている</t>
        </is>
      </c>
      <c r="I96" s="20" t="inlineStr">
        <is>
          <t>○</t>
        </is>
      </c>
      <c r="J96" s="20" t="inlineStr"/>
      <c r="K96" s="20" t="inlineStr">
        <is>
          <t>○</t>
        </is>
      </c>
      <c r="L96" s="20" t="inlineStr"/>
      <c r="M96" s="20" t="inlineStr"/>
      <c r="N96" s="20" t="inlineStr"/>
      <c r="O96" s="20" t="inlineStr"/>
      <c r="P96" s="8" t="inlineStr"/>
      <c r="Q96" s="8" t="inlineStr"/>
    </row>
    <row r="97">
      <c r="A97" s="4" t="inlineStr"/>
      <c r="B97" s="18" t="inlineStr">
        <is>
          <t>5.5.B</t>
        </is>
      </c>
      <c r="C97" s="18" t="n">
        <v>5</v>
      </c>
      <c r="D97" s="18" t="inlineStr">
        <is>
          <t>信頼性の確保 (Trustworthiness)</t>
        </is>
      </c>
      <c r="E97" s="18" t="inlineStr">
        <is>
          <t>5.5</t>
        </is>
      </c>
      <c r="F97" s="18" t="inlineStr">
        <is>
          <t>説明可能性 (Explainable &amp; Interpretable)</t>
        </is>
      </c>
      <c r="G97" s="18" t="inlineStr">
        <is>
          <t>Recommended</t>
        </is>
      </c>
      <c r="H97" s="19" t="inlineStr">
        <is>
          <t>説明が困難な場合の対応方針がある</t>
        </is>
      </c>
      <c r="I97" s="20" t="inlineStr">
        <is>
          <t>○</t>
        </is>
      </c>
      <c r="J97" s="20" t="inlineStr"/>
      <c r="K97" s="20" t="inlineStr"/>
      <c r="L97" s="20" t="inlineStr"/>
      <c r="M97" s="20" t="inlineStr"/>
      <c r="N97" s="20" t="inlineStr"/>
      <c r="O97" s="20" t="inlineStr"/>
      <c r="P97" s="8" t="inlineStr"/>
      <c r="Q97" s="8" t="inlineStr"/>
    </row>
    <row r="98">
      <c r="A98" s="4" t="inlineStr"/>
      <c r="B98" s="18" t="inlineStr">
        <is>
          <t>5.5.C</t>
        </is>
      </c>
      <c r="C98" s="18" t="n">
        <v>5</v>
      </c>
      <c r="D98" s="18" t="inlineStr">
        <is>
          <t>信頼性の確保 (Trustworthiness)</t>
        </is>
      </c>
      <c r="E98" s="18" t="inlineStr">
        <is>
          <t>5.5</t>
        </is>
      </c>
      <c r="F98" s="18" t="inlineStr">
        <is>
          <t>説明可能性 (Explainable &amp; Interpretable)</t>
        </is>
      </c>
      <c r="G98" s="18" t="inlineStr">
        <is>
          <t>Option</t>
        </is>
      </c>
      <c r="H98" s="19" t="inlineStr">
        <is>
          <t>利用者の役割・知識レベルに応じた説明方法がある</t>
        </is>
      </c>
      <c r="I98" s="20" t="inlineStr">
        <is>
          <t>○</t>
        </is>
      </c>
      <c r="J98" s="20" t="inlineStr"/>
      <c r="K98" s="20" t="inlineStr"/>
      <c r="L98" s="20" t="inlineStr"/>
      <c r="M98" s="20" t="inlineStr"/>
      <c r="N98" s="20" t="inlineStr"/>
      <c r="O98" s="20" t="inlineStr"/>
      <c r="P98" s="8" t="inlineStr"/>
      <c r="Q98" s="8" t="inlineStr"/>
    </row>
    <row r="99">
      <c r="A99" s="4" t="inlineStr"/>
      <c r="B99" s="18" t="inlineStr">
        <is>
          <t>5.6.A</t>
        </is>
      </c>
      <c r="C99" s="18" t="n">
        <v>5</v>
      </c>
      <c r="D99" s="18" t="inlineStr">
        <is>
          <t>信頼性の確保 (Trustworthiness)</t>
        </is>
      </c>
      <c r="E99" s="18" t="inlineStr">
        <is>
          <t>5.6</t>
        </is>
      </c>
      <c r="F99" s="18" t="inlineStr">
        <is>
          <t>プライバシー保護 (Privacy-Enhanced)</t>
        </is>
      </c>
      <c r="G99" s="18" t="inlineStr">
        <is>
          <t>Recommended</t>
        </is>
      </c>
      <c r="H99" s="19" t="inlineStr">
        <is>
          <t>プライバシー影響評価の実施要否基準がある</t>
        </is>
      </c>
      <c r="I99" s="20" t="inlineStr">
        <is>
          <t>○</t>
        </is>
      </c>
      <c r="J99" s="20" t="inlineStr"/>
      <c r="K99" s="20" t="inlineStr">
        <is>
          <t>○</t>
        </is>
      </c>
      <c r="L99" s="20" t="inlineStr"/>
      <c r="M99" s="20" t="inlineStr"/>
      <c r="N99" s="20" t="inlineStr"/>
      <c r="O99" s="20" t="inlineStr"/>
      <c r="P99" s="8" t="inlineStr"/>
      <c r="Q99" s="8" t="inlineStr"/>
    </row>
    <row r="100">
      <c r="A100" s="4" t="inlineStr"/>
      <c r="B100" s="18" t="inlineStr">
        <is>
          <t>5.6.B</t>
        </is>
      </c>
      <c r="C100" s="18" t="n">
        <v>5</v>
      </c>
      <c r="D100" s="18" t="inlineStr">
        <is>
          <t>信頼性の確保 (Trustworthiness)</t>
        </is>
      </c>
      <c r="E100" s="18" t="inlineStr">
        <is>
          <t>5.6</t>
        </is>
      </c>
      <c r="F100" s="18" t="inlineStr">
        <is>
          <t>プライバシー保護 (Privacy-Enhanced)</t>
        </is>
      </c>
      <c r="G100" s="18" t="inlineStr">
        <is>
          <t>Required</t>
        </is>
      </c>
      <c r="H100" s="19" t="inlineStr">
        <is>
          <t>データ最小化の原則が示されている</t>
        </is>
      </c>
      <c r="I100" s="20" t="inlineStr">
        <is>
          <t>○</t>
        </is>
      </c>
      <c r="J100" s="20" t="inlineStr"/>
      <c r="K100" s="20" t="inlineStr">
        <is>
          <t>○</t>
        </is>
      </c>
      <c r="L100" s="20" t="inlineStr"/>
      <c r="M100" s="20" t="inlineStr"/>
      <c r="N100" s="20" t="inlineStr"/>
      <c r="O100" s="20" t="inlineStr"/>
      <c r="P100" s="8" t="inlineStr"/>
      <c r="Q100" s="8" t="inlineStr"/>
    </row>
    <row r="101">
      <c r="A101" s="4" t="inlineStr"/>
      <c r="B101" s="18" t="inlineStr">
        <is>
          <t>5.6.C</t>
        </is>
      </c>
      <c r="C101" s="18" t="n">
        <v>5</v>
      </c>
      <c r="D101" s="18" t="inlineStr">
        <is>
          <t>信頼性の確保 (Trustworthiness)</t>
        </is>
      </c>
      <c r="E101" s="18" t="inlineStr">
        <is>
          <t>5.6</t>
        </is>
      </c>
      <c r="F101" s="18" t="inlineStr">
        <is>
          <t>プライバシー保護 (Privacy-Enhanced)</t>
        </is>
      </c>
      <c r="G101" s="18" t="inlineStr">
        <is>
          <t>Required</t>
        </is>
      </c>
      <c r="H101" s="19" t="inlineStr">
        <is>
          <t>個人の権利（アクセス、削除等）への対応方針がある</t>
        </is>
      </c>
      <c r="I101" s="20" t="inlineStr"/>
      <c r="J101" s="20" t="inlineStr"/>
      <c r="K101" s="20" t="inlineStr">
        <is>
          <t>○</t>
        </is>
      </c>
      <c r="L101" s="20" t="inlineStr"/>
      <c r="M101" s="20" t="inlineStr"/>
      <c r="N101" s="20" t="inlineStr"/>
      <c r="O101" s="20" t="inlineStr">
        <is>
          <t>○</t>
        </is>
      </c>
      <c r="P101" s="8" t="inlineStr"/>
      <c r="Q101" s="8" t="inlineStr"/>
    </row>
    <row r="102">
      <c r="A102" s="4" t="inlineStr"/>
      <c r="B102" s="18" t="inlineStr">
        <is>
          <t>5.6.D</t>
        </is>
      </c>
      <c r="C102" s="18" t="n">
        <v>5</v>
      </c>
      <c r="D102" s="18" t="inlineStr">
        <is>
          <t>信頼性の確保 (Trustworthiness)</t>
        </is>
      </c>
      <c r="E102" s="18" t="inlineStr">
        <is>
          <t>5.6</t>
        </is>
      </c>
      <c r="F102" s="18" t="inlineStr">
        <is>
          <t>プライバシー保護 (Privacy-Enhanced)</t>
        </is>
      </c>
      <c r="G102" s="18" t="inlineStr">
        <is>
          <t>Option</t>
        </is>
      </c>
      <c r="H102" s="19" t="inlineStr">
        <is>
          <t>プライバシー強化技術（PETs）の活用が検討されている</t>
        </is>
      </c>
      <c r="I102" s="20" t="inlineStr">
        <is>
          <t>○</t>
        </is>
      </c>
      <c r="J102" s="20" t="inlineStr"/>
      <c r="K102" s="20" t="inlineStr"/>
      <c r="L102" s="20" t="inlineStr"/>
      <c r="M102" s="20" t="inlineStr"/>
      <c r="N102" s="20" t="inlineStr"/>
      <c r="O102" s="20" t="inlineStr"/>
      <c r="P102" s="8" t="inlineStr"/>
      <c r="Q102" s="8" t="inlineStr"/>
    </row>
    <row r="103">
      <c r="A103" s="4" t="inlineStr"/>
      <c r="B103" s="18" t="inlineStr">
        <is>
          <t>5.7.A</t>
        </is>
      </c>
      <c r="C103" s="18" t="n">
        <v>5</v>
      </c>
      <c r="D103" s="18" t="inlineStr">
        <is>
          <t>信頼性の確保 (Trustworthiness)</t>
        </is>
      </c>
      <c r="E103" s="18" t="inlineStr">
        <is>
          <t>5.7</t>
        </is>
      </c>
      <c r="F103" s="18" t="inlineStr">
        <is>
          <t>公平性・バイアス管理 (Fair – Harmful Bias Managed)</t>
        </is>
      </c>
      <c r="G103" s="18" t="inlineStr">
        <is>
          <t>Recommended</t>
        </is>
      </c>
      <c r="H103" s="19" t="inlineStr">
        <is>
          <t>バイアスの種類と影響が説明されている</t>
        </is>
      </c>
      <c r="I103" s="20" t="inlineStr">
        <is>
          <t>○</t>
        </is>
      </c>
      <c r="J103" s="20" t="inlineStr"/>
      <c r="K103" s="20" t="inlineStr">
        <is>
          <t>○</t>
        </is>
      </c>
      <c r="L103" s="20" t="inlineStr"/>
      <c r="M103" s="20" t="inlineStr"/>
      <c r="N103" s="20" t="inlineStr">
        <is>
          <t>○</t>
        </is>
      </c>
      <c r="O103" s="20" t="inlineStr"/>
      <c r="P103" s="8" t="inlineStr"/>
      <c r="Q103" s="8" t="inlineStr"/>
    </row>
    <row r="104">
      <c r="A104" s="4" t="inlineStr"/>
      <c r="B104" s="18" t="inlineStr">
        <is>
          <t>5.7.B</t>
        </is>
      </c>
      <c r="C104" s="18" t="n">
        <v>5</v>
      </c>
      <c r="D104" s="18" t="inlineStr">
        <is>
          <t>信頼性の確保 (Trustworthiness)</t>
        </is>
      </c>
      <c r="E104" s="18" t="inlineStr">
        <is>
          <t>5.7</t>
        </is>
      </c>
      <c r="F104" s="18" t="inlineStr">
        <is>
          <t>公平性・バイアス管理 (Fair – Harmful Bias Managed)</t>
        </is>
      </c>
      <c r="G104" s="18" t="inlineStr">
        <is>
          <t>Recommended</t>
        </is>
      </c>
      <c r="H104" s="19" t="inlineStr">
        <is>
          <t>人事・採用等の判断でのAI利用に関する注意事項がある</t>
        </is>
      </c>
      <c r="I104" s="20" t="inlineStr"/>
      <c r="J104" s="20" t="inlineStr"/>
      <c r="K104" s="20" t="inlineStr">
        <is>
          <t>○</t>
        </is>
      </c>
      <c r="L104" s="20" t="inlineStr"/>
      <c r="M104" s="20" t="inlineStr"/>
      <c r="N104" s="20" t="inlineStr"/>
      <c r="O104" s="20" t="inlineStr">
        <is>
          <t>○</t>
        </is>
      </c>
      <c r="P104" s="8" t="inlineStr"/>
      <c r="Q104" s="8" t="inlineStr"/>
    </row>
    <row r="105">
      <c r="A105" s="4" t="inlineStr"/>
      <c r="B105" s="18" t="inlineStr">
        <is>
          <t>5.7.C</t>
        </is>
      </c>
      <c r="C105" s="18" t="n">
        <v>5</v>
      </c>
      <c r="D105" s="18" t="inlineStr">
        <is>
          <t>信頼性の確保 (Trustworthiness)</t>
        </is>
      </c>
      <c r="E105" s="18" t="inlineStr">
        <is>
          <t>5.7</t>
        </is>
      </c>
      <c r="F105" s="18" t="inlineStr">
        <is>
          <t>公平性・バイアス管理 (Fair – Harmful Bias Managed)</t>
        </is>
      </c>
      <c r="G105" s="18" t="inlineStr">
        <is>
          <t>Option</t>
        </is>
      </c>
      <c r="H105" s="19" t="inlineStr">
        <is>
          <t>バイアスを検出・軽減するための方策が示されている</t>
        </is>
      </c>
      <c r="I105" s="20" t="inlineStr">
        <is>
          <t>○</t>
        </is>
      </c>
      <c r="J105" s="20" t="inlineStr"/>
      <c r="K105" s="20" t="inlineStr">
        <is>
          <t>○</t>
        </is>
      </c>
      <c r="L105" s="20" t="inlineStr"/>
      <c r="M105" s="20" t="inlineStr"/>
      <c r="N105" s="20" t="inlineStr"/>
      <c r="O105" s="20" t="inlineStr"/>
      <c r="P105" s="8" t="inlineStr"/>
      <c r="Q105" s="8" t="inlineStr"/>
    </row>
    <row r="106">
      <c r="A106" s="4" t="inlineStr"/>
      <c r="B106" s="18" t="inlineStr">
        <is>
          <t>5.7.D</t>
        </is>
      </c>
      <c r="C106" s="18" t="n">
        <v>5</v>
      </c>
      <c r="D106" s="18" t="inlineStr">
        <is>
          <t>信頼性の確保 (Trustworthiness)</t>
        </is>
      </c>
      <c r="E106" s="18" t="inlineStr">
        <is>
          <t>5.7</t>
        </is>
      </c>
      <c r="F106" s="18" t="inlineStr">
        <is>
          <t>公平性・バイアス管理 (Fair – Harmful Bias Managed)</t>
        </is>
      </c>
      <c r="G106" s="18" t="inlineStr">
        <is>
          <t>Option</t>
        </is>
      </c>
      <c r="H106" s="19" t="inlineStr">
        <is>
          <t>多様性・公平性の観点からのレビュー体制がある</t>
        </is>
      </c>
      <c r="I106" s="20" t="inlineStr">
        <is>
          <t>○</t>
        </is>
      </c>
      <c r="J106" s="20" t="inlineStr"/>
      <c r="K106" s="20" t="inlineStr"/>
      <c r="L106" s="20" t="inlineStr"/>
      <c r="M106" s="20" t="inlineStr"/>
      <c r="N106" s="20" t="inlineStr"/>
      <c r="O106" s="20" t="inlineStr"/>
      <c r="P106" s="8" t="inlineStr"/>
      <c r="Q106" s="8" t="inlineStr"/>
    </row>
    <row r="107">
      <c r="A107" s="4" t="inlineStr"/>
      <c r="B107" s="18" t="inlineStr">
        <is>
          <t>5.7.E</t>
        </is>
      </c>
      <c r="C107" s="18" t="n">
        <v>5</v>
      </c>
      <c r="D107" s="18" t="inlineStr">
        <is>
          <t>信頼性の確保 (Trustworthiness)</t>
        </is>
      </c>
      <c r="E107" s="18" t="inlineStr">
        <is>
          <t>5.7</t>
        </is>
      </c>
      <c r="F107" s="18" t="inlineStr">
        <is>
          <t>公平性・バイアス管理 (Fair – Harmful Bias Managed)</t>
        </is>
      </c>
      <c r="G107" s="18" t="inlineStr">
        <is>
          <t>Option</t>
        </is>
      </c>
      <c r="H107" s="19" t="inlineStr">
        <is>
          <t>システム的バイアス、統計的バイアス、認知バイアスの区別がある</t>
        </is>
      </c>
      <c r="I107" s="20" t="inlineStr">
        <is>
          <t>○</t>
        </is>
      </c>
      <c r="J107" s="20" t="inlineStr"/>
      <c r="K107" s="20" t="inlineStr"/>
      <c r="L107" s="20" t="inlineStr"/>
      <c r="M107" s="20" t="inlineStr"/>
      <c r="N107" s="20" t="inlineStr"/>
      <c r="O107" s="20" t="inlineStr"/>
      <c r="P107" s="8" t="inlineStr"/>
      <c r="Q107" s="8" t="inlineStr"/>
    </row>
    <row r="108">
      <c r="A108" s="4" t="inlineStr"/>
      <c r="B108" s="21" t="inlineStr">
        <is>
          <t>6.1.A</t>
        </is>
      </c>
      <c r="C108" s="21" t="n">
        <v>6</v>
      </c>
      <c r="D108" s="21" t="inlineStr">
        <is>
          <t>インシデント対応</t>
        </is>
      </c>
      <c r="E108" s="21" t="inlineStr">
        <is>
          <t>6.1</t>
        </is>
      </c>
      <c r="F108" s="21" t="inlineStr">
        <is>
          <t>報告体制</t>
        </is>
      </c>
      <c r="G108" s="21" t="inlineStr">
        <is>
          <t>Required</t>
        </is>
      </c>
      <c r="H108" s="22" t="inlineStr">
        <is>
          <t>AIインシデントの定義と報告すべき事象が明確である</t>
        </is>
      </c>
      <c r="I108" s="23" t="inlineStr">
        <is>
          <t>○</t>
        </is>
      </c>
      <c r="J108" s="23" t="inlineStr"/>
      <c r="K108" s="23" t="inlineStr"/>
      <c r="L108" s="23" t="inlineStr">
        <is>
          <t>○</t>
        </is>
      </c>
      <c r="M108" s="23" t="inlineStr">
        <is>
          <t>○</t>
        </is>
      </c>
      <c r="N108" s="23" t="inlineStr"/>
      <c r="O108" s="23" t="inlineStr"/>
      <c r="P108" s="8" t="inlineStr"/>
      <c r="Q108" s="8" t="inlineStr"/>
    </row>
    <row r="109">
      <c r="A109" s="4" t="inlineStr"/>
      <c r="B109" s="21" t="inlineStr">
        <is>
          <t>6.2.A</t>
        </is>
      </c>
      <c r="C109" s="21" t="n">
        <v>6</v>
      </c>
      <c r="D109" s="21" t="inlineStr">
        <is>
          <t>インシデント対応</t>
        </is>
      </c>
      <c r="E109" s="21" t="inlineStr">
        <is>
          <t>6.2</t>
        </is>
      </c>
      <c r="F109" s="21" t="inlineStr">
        <is>
          <t>対応プロセス</t>
        </is>
      </c>
      <c r="G109" s="21" t="inlineStr">
        <is>
          <t>Required</t>
        </is>
      </c>
      <c r="H109" s="22" t="inlineStr">
        <is>
          <t>初動対応の手順が定められている</t>
        </is>
      </c>
      <c r="I109" s="23" t="inlineStr">
        <is>
          <t>○</t>
        </is>
      </c>
      <c r="J109" s="23" t="inlineStr"/>
      <c r="K109" s="23" t="inlineStr"/>
      <c r="L109" s="23" t="inlineStr"/>
      <c r="M109" s="23" t="inlineStr">
        <is>
          <t>○</t>
        </is>
      </c>
      <c r="N109" s="23" t="inlineStr"/>
      <c r="O109" s="23" t="inlineStr"/>
      <c r="P109" s="8" t="inlineStr"/>
      <c r="Q109" s="8" t="inlineStr"/>
    </row>
    <row r="110">
      <c r="A110" s="4" t="inlineStr"/>
      <c r="B110" s="21" t="inlineStr">
        <is>
          <t>6.2.B</t>
        </is>
      </c>
      <c r="C110" s="21" t="n">
        <v>6</v>
      </c>
      <c r="D110" s="21" t="inlineStr">
        <is>
          <t>インシデント対応</t>
        </is>
      </c>
      <c r="E110" s="21" t="inlineStr">
        <is>
          <t>6.2</t>
        </is>
      </c>
      <c r="F110" s="21" t="inlineStr">
        <is>
          <t>対応プロセス</t>
        </is>
      </c>
      <c r="G110" s="21" t="inlineStr">
        <is>
          <t>Required</t>
        </is>
      </c>
      <c r="H110" s="22" t="inlineStr">
        <is>
          <t>必要に応じた外部報告（当局、顧客等）の基準がある</t>
        </is>
      </c>
      <c r="I110" s="23" t="inlineStr"/>
      <c r="J110" s="23" t="inlineStr"/>
      <c r="K110" s="23" t="inlineStr">
        <is>
          <t>○</t>
        </is>
      </c>
      <c r="L110" s="23" t="inlineStr"/>
      <c r="M110" s="23" t="inlineStr"/>
      <c r="N110" s="23" t="inlineStr"/>
      <c r="O110" s="23" t="inlineStr">
        <is>
          <t>○</t>
        </is>
      </c>
      <c r="P110" s="8" t="inlineStr"/>
      <c r="Q110" s="8" t="inlineStr"/>
    </row>
    <row r="111">
      <c r="A111" s="4" t="inlineStr"/>
      <c r="B111" s="21" t="inlineStr">
        <is>
          <t>6.3.A</t>
        </is>
      </c>
      <c r="C111" s="21" t="n">
        <v>6</v>
      </c>
      <c r="D111" s="21" t="inlineStr">
        <is>
          <t>インシデント対応</t>
        </is>
      </c>
      <c r="E111" s="21" t="inlineStr">
        <is>
          <t>6.3</t>
        </is>
      </c>
      <c r="F111" s="21" t="inlineStr">
        <is>
          <t>記録と改善</t>
        </is>
      </c>
      <c r="G111" s="21" t="inlineStr">
        <is>
          <t>Recommended</t>
        </is>
      </c>
      <c r="H111" s="22" t="inlineStr">
        <is>
          <t>インシデントの記録・保存と事後レビューの要件がある</t>
        </is>
      </c>
      <c r="I111" s="23" t="inlineStr">
        <is>
          <t>○</t>
        </is>
      </c>
      <c r="J111" s="23" t="inlineStr"/>
      <c r="K111" s="23" t="inlineStr"/>
      <c r="L111" s="23" t="inlineStr"/>
      <c r="M111" s="23" t="inlineStr">
        <is>
          <t>○</t>
        </is>
      </c>
      <c r="N111" s="23" t="inlineStr"/>
      <c r="O111" s="23" t="inlineStr"/>
      <c r="P111" s="8" t="inlineStr"/>
      <c r="Q111" s="8" t="inlineStr"/>
    </row>
    <row r="112">
      <c r="A112" s="4" t="inlineStr"/>
      <c r="B112" s="24" t="inlineStr">
        <is>
          <t>7.1.A</t>
        </is>
      </c>
      <c r="C112" s="24" t="n">
        <v>7</v>
      </c>
      <c r="D112" s="24" t="inlineStr">
        <is>
          <t>ガイドラインとしての完成度</t>
        </is>
      </c>
      <c r="E112" s="24" t="inlineStr">
        <is>
          <t>7.1</t>
        </is>
      </c>
      <c r="F112" s="24" t="inlineStr">
        <is>
          <t>構成・可読性</t>
        </is>
      </c>
      <c r="G112" s="24" t="inlineStr">
        <is>
          <t>Required</t>
        </is>
      </c>
      <c r="H112" s="25" t="inlineStr">
        <is>
          <t>目次・構成が分かりやすい</t>
        </is>
      </c>
      <c r="I112" s="26" t="inlineStr"/>
      <c r="J112" s="26" t="inlineStr"/>
      <c r="K112" s="26" t="inlineStr"/>
      <c r="L112" s="26" t="inlineStr">
        <is>
          <t>○</t>
        </is>
      </c>
      <c r="M112" s="26" t="inlineStr"/>
      <c r="N112" s="26" t="inlineStr"/>
      <c r="O112" s="26" t="inlineStr"/>
      <c r="P112" s="8" t="inlineStr"/>
      <c r="Q112" s="8" t="inlineStr"/>
    </row>
    <row r="113">
      <c r="A113" s="4" t="inlineStr"/>
      <c r="B113" s="24" t="inlineStr">
        <is>
          <t>7.1.B</t>
        </is>
      </c>
      <c r="C113" s="24" t="n">
        <v>7</v>
      </c>
      <c r="D113" s="24" t="inlineStr">
        <is>
          <t>ガイドラインとしての完成度</t>
        </is>
      </c>
      <c r="E113" s="24" t="inlineStr">
        <is>
          <t>7.1</t>
        </is>
      </c>
      <c r="F113" s="24" t="inlineStr">
        <is>
          <t>構成・可読性</t>
        </is>
      </c>
      <c r="G113" s="24" t="inlineStr">
        <is>
          <t>Required</t>
        </is>
      </c>
      <c r="H113" s="25" t="inlineStr">
        <is>
          <t>用語の定義が明確である</t>
        </is>
      </c>
      <c r="I113" s="26" t="inlineStr">
        <is>
          <t>○</t>
        </is>
      </c>
      <c r="J113" s="26" t="inlineStr"/>
      <c r="K113" s="26" t="inlineStr"/>
      <c r="L113" s="26" t="inlineStr">
        <is>
          <t>○</t>
        </is>
      </c>
      <c r="M113" s="26" t="inlineStr"/>
      <c r="N113" s="26" t="inlineStr"/>
      <c r="O113" s="26" t="inlineStr"/>
      <c r="P113" s="8" t="inlineStr"/>
      <c r="Q113" s="8" t="inlineStr"/>
    </row>
    <row r="114">
      <c r="A114" s="4" t="inlineStr"/>
      <c r="B114" s="24" t="inlineStr">
        <is>
          <t>7.1.C</t>
        </is>
      </c>
      <c r="C114" s="24" t="n">
        <v>7</v>
      </c>
      <c r="D114" s="24" t="inlineStr">
        <is>
          <t>ガイドラインとしての完成度</t>
        </is>
      </c>
      <c r="E114" s="24" t="inlineStr">
        <is>
          <t>7.1</t>
        </is>
      </c>
      <c r="F114" s="24" t="inlineStr">
        <is>
          <t>構成・可読性</t>
        </is>
      </c>
      <c r="G114" s="24" t="inlineStr">
        <is>
          <t>Recommended</t>
        </is>
      </c>
      <c r="H114" s="25" t="inlineStr">
        <is>
          <t>具体例・FAQが含まれている</t>
        </is>
      </c>
      <c r="I114" s="26" t="inlineStr"/>
      <c r="J114" s="26" t="inlineStr"/>
      <c r="K114" s="26" t="inlineStr"/>
      <c r="L114" s="26" t="inlineStr">
        <is>
          <t>○</t>
        </is>
      </c>
      <c r="M114" s="26" t="inlineStr"/>
      <c r="N114" s="26" t="inlineStr"/>
      <c r="O114" s="26" t="inlineStr"/>
      <c r="P114" s="8" t="inlineStr"/>
      <c r="Q114" s="8" t="inlineStr"/>
    </row>
    <row r="115">
      <c r="A115" s="4" t="inlineStr"/>
      <c r="B115" s="24" t="inlineStr">
        <is>
          <t>7.1.D</t>
        </is>
      </c>
      <c r="C115" s="24" t="n">
        <v>7</v>
      </c>
      <c r="D115" s="24" t="inlineStr">
        <is>
          <t>ガイドラインとしての完成度</t>
        </is>
      </c>
      <c r="E115" s="24" t="inlineStr">
        <is>
          <t>7.1</t>
        </is>
      </c>
      <c r="F115" s="24" t="inlineStr">
        <is>
          <t>構成・可読性</t>
        </is>
      </c>
      <c r="G115" s="24" t="inlineStr">
        <is>
          <t>Recommended</t>
        </is>
      </c>
      <c r="H115" s="25" t="inlineStr">
        <is>
          <t>関連文書へのリンク・参照が整備されている</t>
        </is>
      </c>
      <c r="I115" s="26" t="inlineStr"/>
      <c r="J115" s="26" t="inlineStr"/>
      <c r="K115" s="26" t="inlineStr"/>
      <c r="L115" s="26" t="inlineStr">
        <is>
          <t>○</t>
        </is>
      </c>
      <c r="M115" s="26" t="inlineStr"/>
      <c r="N115" s="26" t="inlineStr"/>
      <c r="O115" s="26" t="inlineStr"/>
      <c r="P115" s="8" t="inlineStr"/>
      <c r="Q115" s="8" t="inlineStr"/>
    </row>
    <row r="116">
      <c r="A116" s="4" t="inlineStr"/>
      <c r="B116" s="24" t="inlineStr">
        <is>
          <t>7.2.A</t>
        </is>
      </c>
      <c r="C116" s="24" t="n">
        <v>7</v>
      </c>
      <c r="D116" s="24" t="inlineStr">
        <is>
          <t>ガイドラインとしての完成度</t>
        </is>
      </c>
      <c r="E116" s="24" t="inlineStr">
        <is>
          <t>7.2</t>
        </is>
      </c>
      <c r="F116" s="24" t="inlineStr">
        <is>
          <t>実効性</t>
        </is>
      </c>
      <c r="G116" s="24" t="inlineStr">
        <is>
          <t>Required</t>
        </is>
      </c>
      <c r="H116" s="25" t="inlineStr">
        <is>
          <t>現場で実際に使える具体性がある</t>
        </is>
      </c>
      <c r="I116" s="26" t="inlineStr"/>
      <c r="J116" s="26" t="inlineStr"/>
      <c r="K116" s="26" t="inlineStr"/>
      <c r="L116" s="26" t="inlineStr">
        <is>
          <t>○</t>
        </is>
      </c>
      <c r="M116" s="26" t="inlineStr"/>
      <c r="N116" s="26" t="inlineStr"/>
      <c r="O116" s="26" t="inlineStr"/>
      <c r="P116" s="8" t="inlineStr"/>
      <c r="Q116" s="8" t="inlineStr"/>
    </row>
    <row r="117">
      <c r="A117" s="4" t="inlineStr"/>
      <c r="B117" s="24" t="inlineStr">
        <is>
          <t>7.2.B</t>
        </is>
      </c>
      <c r="C117" s="24" t="n">
        <v>7</v>
      </c>
      <c r="D117" s="24" t="inlineStr">
        <is>
          <t>ガイドラインとしての完成度</t>
        </is>
      </c>
      <c r="E117" s="24" t="inlineStr">
        <is>
          <t>7.2</t>
        </is>
      </c>
      <c r="F117" s="24" t="inlineStr">
        <is>
          <t>実効性</t>
        </is>
      </c>
      <c r="G117" s="24" t="inlineStr">
        <is>
          <t>Required</t>
        </is>
      </c>
      <c r="H117" s="25" t="inlineStr">
        <is>
          <t>判断に迷う場面での指針が示されている</t>
        </is>
      </c>
      <c r="I117" s="26" t="inlineStr"/>
      <c r="J117" s="26" t="inlineStr"/>
      <c r="K117" s="26" t="inlineStr"/>
      <c r="L117" s="26" t="inlineStr">
        <is>
          <t>○</t>
        </is>
      </c>
      <c r="M117" s="26" t="inlineStr"/>
      <c r="N117" s="26" t="inlineStr"/>
      <c r="O117" s="26" t="inlineStr"/>
      <c r="P117" s="8" t="inlineStr"/>
      <c r="Q117" s="8" t="inlineStr"/>
    </row>
    <row r="118">
      <c r="A118" s="4" t="inlineStr"/>
      <c r="B118" s="24" t="inlineStr">
        <is>
          <t>7.2.C</t>
        </is>
      </c>
      <c r="C118" s="24" t="n">
        <v>7</v>
      </c>
      <c r="D118" s="24" t="inlineStr">
        <is>
          <t>ガイドラインとしての完成度</t>
        </is>
      </c>
      <c r="E118" s="24" t="inlineStr">
        <is>
          <t>7.2</t>
        </is>
      </c>
      <c r="F118" s="24" t="inlineStr">
        <is>
          <t>実効性</t>
        </is>
      </c>
      <c r="G118" s="24" t="inlineStr">
        <is>
          <t>Required</t>
        </is>
      </c>
      <c r="H118" s="25" t="inlineStr">
        <is>
          <t>問い合わせ先・相談窓口が明記されている</t>
        </is>
      </c>
      <c r="I118" s="26" t="inlineStr"/>
      <c r="J118" s="26" t="inlineStr"/>
      <c r="K118" s="26" t="inlineStr"/>
      <c r="L118" s="26" t="inlineStr">
        <is>
          <t>○</t>
        </is>
      </c>
      <c r="M118" s="26" t="inlineStr"/>
      <c r="N118" s="26" t="inlineStr"/>
      <c r="O118" s="26" t="inlineStr"/>
      <c r="P118" s="8" t="inlineStr"/>
      <c r="Q118" s="8" t="inlineStr"/>
    </row>
    <row r="119">
      <c r="A119" s="4" t="inlineStr"/>
      <c r="B119" s="24" t="inlineStr">
        <is>
          <t>7.2.D</t>
        </is>
      </c>
      <c r="C119" s="24" t="n">
        <v>7</v>
      </c>
      <c r="D119" s="24" t="inlineStr">
        <is>
          <t>ガイドラインとしての完成度</t>
        </is>
      </c>
      <c r="E119" s="24" t="inlineStr">
        <is>
          <t>7.2</t>
        </is>
      </c>
      <c r="F119" s="24" t="inlineStr">
        <is>
          <t>実効性</t>
        </is>
      </c>
      <c r="G119" s="24" t="inlineStr">
        <is>
          <t>Recommended</t>
        </is>
      </c>
      <c r="H119" s="25" t="inlineStr">
        <is>
          <t>例外対応のプロセスが定められている</t>
        </is>
      </c>
      <c r="I119" s="26" t="inlineStr">
        <is>
          <t>○</t>
        </is>
      </c>
      <c r="J119" s="26" t="inlineStr"/>
      <c r="K119" s="26" t="inlineStr"/>
      <c r="L119" s="26" t="inlineStr"/>
      <c r="M119" s="26" t="inlineStr"/>
      <c r="N119" s="26" t="inlineStr"/>
      <c r="O119" s="26" t="inlineStr"/>
      <c r="P119" s="8" t="inlineStr"/>
      <c r="Q119" s="8" t="inlineStr"/>
    </row>
    <row r="120">
      <c r="A120" s="4" t="inlineStr"/>
      <c r="B120" s="24" t="inlineStr">
        <is>
          <t>7.3.A</t>
        </is>
      </c>
      <c r="C120" s="24" t="n">
        <v>7</v>
      </c>
      <c r="D120" s="24" t="inlineStr">
        <is>
          <t>ガイドラインとしての完成度</t>
        </is>
      </c>
      <c r="E120" s="24" t="inlineStr">
        <is>
          <t>7.3</t>
        </is>
      </c>
      <c r="F120" s="24" t="inlineStr">
        <is>
          <t>管理情報</t>
        </is>
      </c>
      <c r="G120" s="24" t="inlineStr">
        <is>
          <t>Required</t>
        </is>
      </c>
      <c r="H120" s="25" t="inlineStr">
        <is>
          <t>文書のバージョン・改訂履歴がある</t>
        </is>
      </c>
      <c r="I120" s="26" t="inlineStr"/>
      <c r="J120" s="26" t="inlineStr"/>
      <c r="K120" s="26" t="inlineStr"/>
      <c r="L120" s="26" t="inlineStr">
        <is>
          <t>○</t>
        </is>
      </c>
      <c r="M120" s="26" t="inlineStr"/>
      <c r="N120" s="26" t="inlineStr"/>
      <c r="O120" s="26" t="inlineStr"/>
      <c r="P120" s="8" t="inlineStr"/>
      <c r="Q120" s="8" t="inlineStr"/>
    </row>
    <row r="121">
      <c r="A121" s="4" t="inlineStr"/>
      <c r="B121" s="24" t="inlineStr">
        <is>
          <t>7.3.B</t>
        </is>
      </c>
      <c r="C121" s="24" t="n">
        <v>7</v>
      </c>
      <c r="D121" s="24" t="inlineStr">
        <is>
          <t>ガイドラインとしての完成度</t>
        </is>
      </c>
      <c r="E121" s="24" t="inlineStr">
        <is>
          <t>7.3</t>
        </is>
      </c>
      <c r="F121" s="24" t="inlineStr">
        <is>
          <t>管理情報</t>
        </is>
      </c>
      <c r="G121" s="24" t="inlineStr">
        <is>
          <t>Required</t>
        </is>
      </c>
      <c r="H121" s="25" t="inlineStr">
        <is>
          <t>制定日・施行日が明記されている</t>
        </is>
      </c>
      <c r="I121" s="26" t="inlineStr"/>
      <c r="J121" s="26" t="inlineStr"/>
      <c r="K121" s="26" t="inlineStr"/>
      <c r="L121" s="26" t="inlineStr">
        <is>
          <t>○</t>
        </is>
      </c>
      <c r="M121" s="26" t="inlineStr"/>
      <c r="N121" s="26" t="inlineStr"/>
      <c r="O121" s="26" t="inlineStr"/>
      <c r="P121" s="8" t="inlineStr"/>
      <c r="Q121" s="8" t="inlineStr"/>
    </row>
    <row r="122">
      <c r="A122" s="4" t="inlineStr"/>
      <c r="B122" s="24" t="inlineStr">
        <is>
          <t>7.3.C</t>
        </is>
      </c>
      <c r="C122" s="24" t="n">
        <v>7</v>
      </c>
      <c r="D122" s="24" t="inlineStr">
        <is>
          <t>ガイドラインとしての完成度</t>
        </is>
      </c>
      <c r="E122" s="24" t="inlineStr">
        <is>
          <t>7.3</t>
        </is>
      </c>
      <c r="F122" s="24" t="inlineStr">
        <is>
          <t>管理情報</t>
        </is>
      </c>
      <c r="G122" s="24" t="inlineStr">
        <is>
          <t>Recommended</t>
        </is>
      </c>
      <c r="H122" s="25" t="inlineStr">
        <is>
          <t>次回見直し予定が記載されている</t>
        </is>
      </c>
      <c r="I122" s="26" t="inlineStr">
        <is>
          <t>○</t>
        </is>
      </c>
      <c r="J122" s="26" t="inlineStr"/>
      <c r="K122" s="26" t="inlineStr"/>
      <c r="L122" s="26" t="inlineStr">
        <is>
          <t>○</t>
        </is>
      </c>
      <c r="M122" s="26" t="inlineStr"/>
      <c r="N122" s="26" t="inlineStr"/>
      <c r="O122" s="26" t="inlineStr"/>
      <c r="P122" s="8" t="inlineStr"/>
      <c r="Q122" s="8" t="inlineStr"/>
    </row>
    <row r="123">
      <c r="A123" s="4" t="inlineStr"/>
      <c r="B123" s="24" t="inlineStr">
        <is>
          <t>7.3.D</t>
        </is>
      </c>
      <c r="C123" s="24" t="n">
        <v>7</v>
      </c>
      <c r="D123" s="24" t="inlineStr">
        <is>
          <t>ガイドラインとしての完成度</t>
        </is>
      </c>
      <c r="E123" s="24" t="inlineStr">
        <is>
          <t>7.3</t>
        </is>
      </c>
      <c r="F123" s="24" t="inlineStr">
        <is>
          <t>管理情報</t>
        </is>
      </c>
      <c r="G123" s="24" t="inlineStr">
        <is>
          <t>Required</t>
        </is>
      </c>
      <c r="H123" s="25" t="inlineStr">
        <is>
          <t>承認者・責任者が明記されている</t>
        </is>
      </c>
      <c r="I123" s="26" t="inlineStr"/>
      <c r="J123" s="26" t="inlineStr"/>
      <c r="K123" s="26" t="inlineStr"/>
      <c r="L123" s="26" t="inlineStr">
        <is>
          <t>○</t>
        </is>
      </c>
      <c r="M123" s="26" t="inlineStr"/>
      <c r="N123" s="26" t="inlineStr"/>
      <c r="O123" s="26" t="inlineStr"/>
      <c r="P123" s="8" t="inlineStr"/>
      <c r="Q123" s="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Q123"/>
  <mergeCells count="2">
    <mergeCell ref="A2:Q2"/>
    <mergeCell ref="A1:Q1"/>
  </mergeCells>
  <conditionalFormatting sqref="A4:A123">
    <cfRule type="cellIs" priority="1" operator="equal" dxfId="0">
      <formula>"対応済"</formula>
    </cfRule>
    <cfRule type="cellIs" priority="2" operator="equal" dxfId="1">
      <formula>"一部対応"</formula>
    </cfRule>
    <cfRule type="cellIs" priority="3" operator="equal" dxfId="2">
      <formula>"未対応"</formula>
    </cfRule>
    <cfRule type="cellIs" priority="4" operator="equal" dxfId="3">
      <formula>"該当なし"</formula>
    </cfRule>
  </conditionalFormatting>
  <conditionalFormatting sqref="G4:G123">
    <cfRule type="cellIs" priority="5" operator="equal" dxfId="4">
      <formula>"Required"</formula>
    </cfRule>
    <cfRule type="cellIs" priority="6" operator="equal" dxfId="5">
      <formula>"Recommended"</formula>
    </cfRule>
    <cfRule type="cellIs" priority="7" operator="equal" dxfId="6">
      <formula>"Option"</formula>
    </cfRule>
  </conditionalFormatting>
  <conditionalFormatting sqref="I4:O123">
    <cfRule type="cellIs" priority="8" operator="equal" dxfId="7">
      <formula>"○"</formula>
    </cfRule>
  </conditionalFormatting>
  <dataValidations count="1">
    <dataValidation sqref="A4:A123" showDropDown="0" showInputMessage="0" showErrorMessage="1" allowBlank="1" errorTitle="入力エラー" error="対応済・一部対応・未対応・該当なしから選択してください" type="list">
      <formula1>"対応済,一部対応,未対応,該当なし"</formula1>
    </dataValidation>
  </dataValidations>
  <pageMargins left="0.59" right="0.59" top="0.59" bottom="0.59" header="0.3" footer="0.3"/>
  <pageSetup orientation="landscape" paperSize="8" fitToHeight="0" fitToWidth="1"/>
  <headerFooter>
    <oddHeader>&amp;L生成AI利用ガイドライン チェックリスト&amp;R&amp;P</oddHeader>
    <oddFooter>&amp;CConfidential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 ht="32" customHeight="1">
      <c r="A1" s="27" t="inlineStr">
        <is>
          <t>チェック結果 全体サマリー</t>
        </is>
      </c>
    </row>
    <row r="2">
      <c r="A2" s="28" t="inlineStr">
        <is>
          <t>ステータス</t>
        </is>
      </c>
      <c r="B2" s="28" t="inlineStr">
        <is>
          <t>件数</t>
        </is>
      </c>
      <c r="C2" s="28" t="inlineStr">
        <is>
          <t>割合</t>
        </is>
      </c>
    </row>
    <row r="3">
      <c r="A3" s="29" t="inlineStr">
        <is>
          <t>対応済</t>
        </is>
      </c>
      <c r="B3" s="30">
        <f>COUNTIF('チェックリスト'!$A$4:$A$123,"対応済")</f>
        <v/>
      </c>
      <c r="C3" s="31">
        <f>B3/120</f>
        <v/>
      </c>
    </row>
    <row r="4">
      <c r="A4" s="29" t="inlineStr">
        <is>
          <t>一部対応</t>
        </is>
      </c>
      <c r="B4" s="30">
        <f>COUNTIF('チェックリスト'!$A$4:$A$123,"一部対応")</f>
        <v/>
      </c>
      <c r="C4" s="31">
        <f>B4/120</f>
        <v/>
      </c>
    </row>
    <row r="5">
      <c r="A5" s="29" t="inlineStr">
        <is>
          <t>未対応</t>
        </is>
      </c>
      <c r="B5" s="30">
        <f>COUNTIF('チェックリスト'!$A$4:$A$123,"未対応")</f>
        <v/>
      </c>
      <c r="C5" s="31">
        <f>B5/120</f>
        <v/>
      </c>
    </row>
    <row r="6">
      <c r="A6" s="29" t="inlineStr">
        <is>
          <t>該当なし</t>
        </is>
      </c>
      <c r="B6" s="30">
        <f>COUNTIF('チェックリスト'!$A$4:$A$123,"該当なし")</f>
        <v/>
      </c>
      <c r="C6" s="31">
        <f>B6/120</f>
        <v/>
      </c>
    </row>
    <row r="7">
      <c r="A7" s="29" t="inlineStr">
        <is>
          <t>未記入</t>
        </is>
      </c>
      <c r="B7" s="30">
        <f>COUNTBLANK('チェックリスト'!$A$4:$A$123)</f>
        <v/>
      </c>
      <c r="C7" s="31">
        <f>B7/120</f>
        <v/>
      </c>
    </row>
    <row r="8">
      <c r="A8" s="32" t="inlineStr">
        <is>
          <t>合計</t>
        </is>
      </c>
      <c r="B8" s="33" t="n">
        <v>120</v>
      </c>
    </row>
    <row r="10" ht="32" customHeight="1">
      <c r="A10" s="27" t="inlineStr">
        <is>
          <t>準拠レベル別 チェック結果</t>
        </is>
      </c>
    </row>
    <row r="11">
      <c r="A11" s="28" t="inlineStr">
        <is>
          <t>レベル</t>
        </is>
      </c>
      <c r="B11" s="28" t="inlineStr">
        <is>
          <t>項目数</t>
        </is>
      </c>
      <c r="C11" s="28" t="inlineStr">
        <is>
          <t>対応済</t>
        </is>
      </c>
      <c r="D11" s="28" t="inlineStr">
        <is>
          <t>一部対応</t>
        </is>
      </c>
      <c r="E11" s="28" t="inlineStr">
        <is>
          <t>未対応</t>
        </is>
      </c>
      <c r="F11" s="28" t="inlineStr">
        <is>
          <t>該当なし</t>
        </is>
      </c>
      <c r="G11" s="28" t="inlineStr">
        <is>
          <t>未記入</t>
        </is>
      </c>
      <c r="H11" s="28" t="inlineStr">
        <is>
          <t>対応率</t>
        </is>
      </c>
    </row>
    <row r="12">
      <c r="A12" s="29" t="inlineStr">
        <is>
          <t>Required</t>
        </is>
      </c>
      <c r="B12" s="30">
        <f>COUNTIF('チェックリスト'!$G$4:$G$123,"Required")</f>
        <v/>
      </c>
      <c r="C12" s="30">
        <f>COUNTIFS('チェックリスト'!$G$4:$G$123,"Required",'チェックリスト'!$A$4:$A$123,"対応済")</f>
        <v/>
      </c>
      <c r="D12" s="30">
        <f>COUNTIFS('チェックリスト'!$G$4:$G$123,"Required",'チェックリスト'!$A$4:$A$123,"一部対応")</f>
        <v/>
      </c>
      <c r="E12" s="30">
        <f>COUNTIFS('チェックリスト'!$G$4:$G$123,"Required",'チェックリスト'!$A$4:$A$123,"未対応")</f>
        <v/>
      </c>
      <c r="F12" s="30">
        <f>COUNTIFS('チェックリスト'!$G$4:$G$123,"Required",'チェックリスト'!$A$4:$A$123,"該当なし")</f>
        <v/>
      </c>
      <c r="G12" s="30">
        <f>B12-SUM(C12:F12)</f>
        <v/>
      </c>
      <c r="H12" s="31">
        <f>IFERROR(C12/B12,0)</f>
        <v/>
      </c>
    </row>
    <row r="13">
      <c r="A13" s="29" t="inlineStr">
        <is>
          <t>Recommended</t>
        </is>
      </c>
      <c r="B13" s="30">
        <f>COUNTIF('チェックリスト'!$G$4:$G$123,"Recommended")</f>
        <v/>
      </c>
      <c r="C13" s="30">
        <f>COUNTIFS('チェックリスト'!$G$4:$G$123,"Recommended",'チェックリスト'!$A$4:$A$123,"対応済")</f>
        <v/>
      </c>
      <c r="D13" s="30">
        <f>COUNTIFS('チェックリスト'!$G$4:$G$123,"Recommended",'チェックリスト'!$A$4:$A$123,"一部対応")</f>
        <v/>
      </c>
      <c r="E13" s="30">
        <f>COUNTIFS('チェックリスト'!$G$4:$G$123,"Recommended",'チェックリスト'!$A$4:$A$123,"未対応")</f>
        <v/>
      </c>
      <c r="F13" s="30">
        <f>COUNTIFS('チェックリスト'!$G$4:$G$123,"Recommended",'チェックリスト'!$A$4:$A$123,"該当なし")</f>
        <v/>
      </c>
      <c r="G13" s="30">
        <f>B13-SUM(C13:F13)</f>
        <v/>
      </c>
      <c r="H13" s="31">
        <f>IFERROR(C13/B13,0)</f>
        <v/>
      </c>
    </row>
    <row r="14">
      <c r="A14" s="29" t="inlineStr">
        <is>
          <t>Option</t>
        </is>
      </c>
      <c r="B14" s="30">
        <f>COUNTIF('チェックリスト'!$G$4:$G$123,"Option")</f>
        <v/>
      </c>
      <c r="C14" s="30">
        <f>COUNTIFS('チェックリスト'!$G$4:$G$123,"Option",'チェックリスト'!$A$4:$A$123,"対応済")</f>
        <v/>
      </c>
      <c r="D14" s="30">
        <f>COUNTIFS('チェックリスト'!$G$4:$G$123,"Option",'チェックリスト'!$A$4:$A$123,"一部対応")</f>
        <v/>
      </c>
      <c r="E14" s="30">
        <f>COUNTIFS('チェックリスト'!$G$4:$G$123,"Option",'チェックリスト'!$A$4:$A$123,"未対応")</f>
        <v/>
      </c>
      <c r="F14" s="30">
        <f>COUNTIFS('チェックリスト'!$G$4:$G$123,"Option",'チェックリスト'!$A$4:$A$123,"該当なし")</f>
        <v/>
      </c>
      <c r="G14" s="30">
        <f>B14-SUM(C14:F14)</f>
        <v/>
      </c>
      <c r="H14" s="31">
        <f>IFERROR(C14/B14,0)</f>
        <v/>
      </c>
    </row>
    <row r="16" ht="32" customHeight="1">
      <c r="A16" s="27" t="inlineStr">
        <is>
          <t>章別 チェック結果</t>
        </is>
      </c>
    </row>
    <row r="17">
      <c r="A17" s="28" t="inlineStr">
        <is>
          <t>章</t>
        </is>
      </c>
      <c r="B17" s="28" t="inlineStr">
        <is>
          <t>項目数</t>
        </is>
      </c>
      <c r="C17" s="28" t="inlineStr">
        <is>
          <t>対応済</t>
        </is>
      </c>
      <c r="D17" s="28" t="inlineStr">
        <is>
          <t>一部対応</t>
        </is>
      </c>
      <c r="E17" s="28" t="inlineStr">
        <is>
          <t>未対応</t>
        </is>
      </c>
      <c r="F17" s="28" t="inlineStr">
        <is>
          <t>該当なし</t>
        </is>
      </c>
      <c r="G17" s="28" t="inlineStr">
        <is>
          <t>未記入</t>
        </is>
      </c>
      <c r="H17" s="28" t="inlineStr">
        <is>
          <t>対応率</t>
        </is>
      </c>
      <c r="I17" s="28" t="inlineStr">
        <is>
          <t>必須対応率</t>
        </is>
      </c>
    </row>
    <row r="18">
      <c r="A18" s="29" t="inlineStr">
        <is>
          <t>1. ガバナンス体制 (GOVERN)</t>
        </is>
      </c>
      <c r="B18" s="30">
        <f>COUNTIF('チェックリスト'!$C$4:$C$123,1)</f>
        <v/>
      </c>
      <c r="C18" s="30">
        <f>COUNTIFS('チェックリスト'!$C$4:$C$123,1,'チェックリスト'!$A$4:$A$123,"対応済")</f>
        <v/>
      </c>
      <c r="D18" s="30">
        <f>COUNTIFS('チェックリスト'!$C$4:$C$123,1,'チェックリスト'!$A$4:$A$123,"一部対応")</f>
        <v/>
      </c>
      <c r="E18" s="30">
        <f>COUNTIFS('チェックリスト'!$C$4:$C$123,1,'チェックリスト'!$A$4:$A$123,"未対応")</f>
        <v/>
      </c>
      <c r="F18" s="30">
        <f>COUNTIFS('チェックリスト'!$C$4:$C$123,1,'チェックリスト'!$A$4:$A$123,"該当なし")</f>
        <v/>
      </c>
      <c r="G18" s="30">
        <f>B18-SUM(C18:F18)</f>
        <v/>
      </c>
      <c r="H18" s="31">
        <f>IFERROR(C18/B18,0)</f>
        <v/>
      </c>
      <c r="I18" s="31">
        <f>IFERROR(COUNTIFS('チェックリスト'!$C$4:$C$123,1,'チェックリスト'!$G$4:$G$123,"Required",'チェックリスト'!$A$4:$A$123,"対応済")/COUNTIFS('チェックリスト'!$C$4:$C$123,1,'チェックリスト'!$G$4:$G$123,"Required"),0)</f>
        <v/>
      </c>
    </row>
    <row r="19">
      <c r="A19" s="29" t="inlineStr">
        <is>
          <t>2. リスクの特定と評価 (MAP)</t>
        </is>
      </c>
      <c r="B19" s="30">
        <f>COUNTIF('チェックリスト'!$C$4:$C$123,2)</f>
        <v/>
      </c>
      <c r="C19" s="30">
        <f>COUNTIFS('チェックリスト'!$C$4:$C$123,2,'チェックリスト'!$A$4:$A$123,"対応済")</f>
        <v/>
      </c>
      <c r="D19" s="30">
        <f>COUNTIFS('チェックリスト'!$C$4:$C$123,2,'チェックリスト'!$A$4:$A$123,"一部対応")</f>
        <v/>
      </c>
      <c r="E19" s="30">
        <f>COUNTIFS('チェックリスト'!$C$4:$C$123,2,'チェックリスト'!$A$4:$A$123,"未対応")</f>
        <v/>
      </c>
      <c r="F19" s="30">
        <f>COUNTIFS('チェックリスト'!$C$4:$C$123,2,'チェックリスト'!$A$4:$A$123,"該当なし")</f>
        <v/>
      </c>
      <c r="G19" s="30">
        <f>B19-SUM(C19:F19)</f>
        <v/>
      </c>
      <c r="H19" s="31">
        <f>IFERROR(C19/B19,0)</f>
        <v/>
      </c>
      <c r="I19" s="31">
        <f>IFERROR(COUNTIFS('チェックリスト'!$C$4:$C$123,2,'チェックリスト'!$G$4:$G$123,"Required",'チェックリスト'!$A$4:$A$123,"対応済")/COUNTIFS('チェックリスト'!$C$4:$C$123,2,'チェックリスト'!$G$4:$G$123,"Required"),0)</f>
        <v/>
      </c>
    </row>
    <row r="20">
      <c r="A20" s="29" t="inlineStr">
        <is>
          <t>3. 入力データの管理</t>
        </is>
      </c>
      <c r="B20" s="30">
        <f>COUNTIF('チェックリスト'!$C$4:$C$123,3)</f>
        <v/>
      </c>
      <c r="C20" s="30">
        <f>COUNTIFS('チェックリスト'!$C$4:$C$123,3,'チェックリスト'!$A$4:$A$123,"対応済")</f>
        <v/>
      </c>
      <c r="D20" s="30">
        <f>COUNTIFS('チェックリスト'!$C$4:$C$123,3,'チェックリスト'!$A$4:$A$123,"一部対応")</f>
        <v/>
      </c>
      <c r="E20" s="30">
        <f>COUNTIFS('チェックリスト'!$C$4:$C$123,3,'チェックリスト'!$A$4:$A$123,"未対応")</f>
        <v/>
      </c>
      <c r="F20" s="30">
        <f>COUNTIFS('チェックリスト'!$C$4:$C$123,3,'チェックリスト'!$A$4:$A$123,"該当なし")</f>
        <v/>
      </c>
      <c r="G20" s="30">
        <f>B20-SUM(C20:F20)</f>
        <v/>
      </c>
      <c r="H20" s="31">
        <f>IFERROR(C20/B20,0)</f>
        <v/>
      </c>
      <c r="I20" s="31">
        <f>IFERROR(COUNTIFS('チェックリスト'!$C$4:$C$123,3,'チェックリスト'!$G$4:$G$123,"Required",'チェックリスト'!$A$4:$A$123,"対応済")/COUNTIFS('チェックリスト'!$C$4:$C$123,3,'チェックリスト'!$G$4:$G$123,"Required"),0)</f>
        <v/>
      </c>
    </row>
    <row r="21">
      <c r="A21" s="29" t="inlineStr">
        <is>
          <t>4. 出力の管理と利用</t>
        </is>
      </c>
      <c r="B21" s="30">
        <f>COUNTIF('チェックリスト'!$C$4:$C$123,4)</f>
        <v/>
      </c>
      <c r="C21" s="30">
        <f>COUNTIFS('チェックリスト'!$C$4:$C$123,4,'チェックリスト'!$A$4:$A$123,"対応済")</f>
        <v/>
      </c>
      <c r="D21" s="30">
        <f>COUNTIFS('チェックリスト'!$C$4:$C$123,4,'チェックリスト'!$A$4:$A$123,"一部対応")</f>
        <v/>
      </c>
      <c r="E21" s="30">
        <f>COUNTIFS('チェックリスト'!$C$4:$C$123,4,'チェックリスト'!$A$4:$A$123,"未対応")</f>
        <v/>
      </c>
      <c r="F21" s="30">
        <f>COUNTIFS('チェックリスト'!$C$4:$C$123,4,'チェックリスト'!$A$4:$A$123,"該当なし")</f>
        <v/>
      </c>
      <c r="G21" s="30">
        <f>B21-SUM(C21:F21)</f>
        <v/>
      </c>
      <c r="H21" s="31">
        <f>IFERROR(C21/B21,0)</f>
        <v/>
      </c>
      <c r="I21" s="31">
        <f>IFERROR(COUNTIFS('チェックリスト'!$C$4:$C$123,4,'チェックリスト'!$G$4:$G$123,"Required",'チェックリスト'!$A$4:$A$123,"対応済")/COUNTIFS('チェックリスト'!$C$4:$C$123,4,'チェックリスト'!$G$4:$G$123,"Required"),0)</f>
        <v/>
      </c>
    </row>
    <row r="22">
      <c r="A22" s="29" t="inlineStr">
        <is>
          <t>5. 信頼性の確保 (Trustworthiness)</t>
        </is>
      </c>
      <c r="B22" s="30">
        <f>COUNTIF('チェックリスト'!$C$4:$C$123,5)</f>
        <v/>
      </c>
      <c r="C22" s="30">
        <f>COUNTIFS('チェックリスト'!$C$4:$C$123,5,'チェックリスト'!$A$4:$A$123,"対応済")</f>
        <v/>
      </c>
      <c r="D22" s="30">
        <f>COUNTIFS('チェックリスト'!$C$4:$C$123,5,'チェックリスト'!$A$4:$A$123,"一部対応")</f>
        <v/>
      </c>
      <c r="E22" s="30">
        <f>COUNTIFS('チェックリスト'!$C$4:$C$123,5,'チェックリスト'!$A$4:$A$123,"未対応")</f>
        <v/>
      </c>
      <c r="F22" s="30">
        <f>COUNTIFS('チェックリスト'!$C$4:$C$123,5,'チェックリスト'!$A$4:$A$123,"該当なし")</f>
        <v/>
      </c>
      <c r="G22" s="30">
        <f>B22-SUM(C22:F22)</f>
        <v/>
      </c>
      <c r="H22" s="31">
        <f>IFERROR(C22/B22,0)</f>
        <v/>
      </c>
      <c r="I22" s="31">
        <f>IFERROR(COUNTIFS('チェックリスト'!$C$4:$C$123,5,'チェックリスト'!$G$4:$G$123,"Required",'チェックリスト'!$A$4:$A$123,"対応済")/COUNTIFS('チェックリスト'!$C$4:$C$123,5,'チェックリスト'!$G$4:$G$123,"Required"),0)</f>
        <v/>
      </c>
    </row>
    <row r="23">
      <c r="A23" s="29" t="inlineStr">
        <is>
          <t>6. インシデント対応</t>
        </is>
      </c>
      <c r="B23" s="30">
        <f>COUNTIF('チェックリスト'!$C$4:$C$123,6)</f>
        <v/>
      </c>
      <c r="C23" s="30">
        <f>COUNTIFS('チェックリスト'!$C$4:$C$123,6,'チェックリスト'!$A$4:$A$123,"対応済")</f>
        <v/>
      </c>
      <c r="D23" s="30">
        <f>COUNTIFS('チェックリスト'!$C$4:$C$123,6,'チェックリスト'!$A$4:$A$123,"一部対応")</f>
        <v/>
      </c>
      <c r="E23" s="30">
        <f>COUNTIFS('チェックリスト'!$C$4:$C$123,6,'チェックリスト'!$A$4:$A$123,"未対応")</f>
        <v/>
      </c>
      <c r="F23" s="30">
        <f>COUNTIFS('チェックリスト'!$C$4:$C$123,6,'チェックリスト'!$A$4:$A$123,"該当なし")</f>
        <v/>
      </c>
      <c r="G23" s="30">
        <f>B23-SUM(C23:F23)</f>
        <v/>
      </c>
      <c r="H23" s="31">
        <f>IFERROR(C23/B23,0)</f>
        <v/>
      </c>
      <c r="I23" s="31">
        <f>IFERROR(COUNTIFS('チェックリスト'!$C$4:$C$123,6,'チェックリスト'!$G$4:$G$123,"Required",'チェックリスト'!$A$4:$A$123,"対応済")/COUNTIFS('チェックリスト'!$C$4:$C$123,6,'チェックリスト'!$G$4:$G$123,"Required"),0)</f>
        <v/>
      </c>
    </row>
    <row r="24">
      <c r="A24" s="29" t="inlineStr">
        <is>
          <t>7. ガイドラインとしての完成度</t>
        </is>
      </c>
      <c r="B24" s="30">
        <f>COUNTIF('チェックリスト'!$C$4:$C$123,7)</f>
        <v/>
      </c>
      <c r="C24" s="30">
        <f>COUNTIFS('チェックリスト'!$C$4:$C$123,7,'チェックリスト'!$A$4:$A$123,"対応済")</f>
        <v/>
      </c>
      <c r="D24" s="30">
        <f>COUNTIFS('チェックリスト'!$C$4:$C$123,7,'チェックリスト'!$A$4:$A$123,"一部対応")</f>
        <v/>
      </c>
      <c r="E24" s="30">
        <f>COUNTIFS('チェックリスト'!$C$4:$C$123,7,'チェックリスト'!$A$4:$A$123,"未対応")</f>
        <v/>
      </c>
      <c r="F24" s="30">
        <f>COUNTIFS('チェックリスト'!$C$4:$C$123,7,'チェックリスト'!$A$4:$A$123,"該当なし")</f>
        <v/>
      </c>
      <c r="G24" s="30">
        <f>B24-SUM(C24:F24)</f>
        <v/>
      </c>
      <c r="H24" s="31">
        <f>IFERROR(C24/B24,0)</f>
        <v/>
      </c>
      <c r="I24" s="31">
        <f>IFERROR(COUNTIFS('チェックリスト'!$C$4:$C$123,7,'チェックリスト'!$G$4:$G$123,"Required",'チェックリスト'!$A$4:$A$123,"対応済")/COUNTIFS('チェックリスト'!$C$4:$C$123,7,'チェックリスト'!$G$4:$G$123,"Required"),0)</f>
        <v/>
      </c>
    </row>
    <row r="26">
      <c r="A26" s="34" t="inlineStr">
        <is>
          <t>チェック結果の入力方法</t>
        </is>
      </c>
    </row>
    <row r="27">
      <c r="A27" s="29" t="inlineStr"/>
    </row>
    <row r="28">
      <c r="A28" s="29" t="inlineStr">
        <is>
          <t>チェック結果の選択基準:</t>
        </is>
      </c>
    </row>
    <row r="29">
      <c r="A29" s="29" t="inlineStr">
        <is>
          <t xml:space="preserve">　対応済:　　ガイドラインに該当する内容が記載されている</t>
        </is>
      </c>
    </row>
    <row r="30">
      <c r="A30" s="29" t="inlineStr">
        <is>
          <t xml:space="preserve">　一部対応:　内容は含まれているが不十分、または表現が曖昧</t>
        </is>
      </c>
    </row>
    <row r="31">
      <c r="A31" s="29" t="inlineStr">
        <is>
          <t xml:space="preserve">　未対応:　　ガイドラインに該当する記載がない</t>
        </is>
      </c>
    </row>
    <row r="32">
      <c r="A32" s="29" t="inlineStr">
        <is>
          <t xml:space="preserve">　該当なし:　自組織の状況に照らして対応不要と判断した項目</t>
        </is>
      </c>
    </row>
    <row r="33">
      <c r="A33" s="29" t="inlineStr"/>
    </row>
    <row r="34">
      <c r="A34" s="29" t="inlineStr">
        <is>
          <t>推奨する進め方:</t>
        </is>
      </c>
    </row>
    <row r="35">
      <c r="A35" s="29" t="inlineStr">
        <is>
          <t xml:space="preserve">　1. まず「Required」項目だけをフィルタで表示し、すべてチェックする</t>
        </is>
      </c>
    </row>
    <row r="36">
      <c r="A36" s="29" t="inlineStr">
        <is>
          <t xml:space="preserve">　2. 次に「Recommended」項目を確認する</t>
        </is>
      </c>
    </row>
    <row r="37">
      <c r="A37" s="29" t="inlineStr">
        <is>
          <t xml:space="preserve">　3. 最後に「Option」項目を組織の状況に応じて検討する</t>
        </is>
      </c>
    </row>
    <row r="38">
      <c r="A38" s="29" t="inlineStr">
        <is>
          <t xml:space="preserve">　4.「該当なし」とした項目は、備考欄にその理由を記入する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C1"/>
    <mergeCell ref="A16:I16"/>
    <mergeCell ref="A10:H10"/>
  </mergeCells>
  <conditionalFormatting sqref="C3:C7">
    <cfRule type="cellIs" priority="1" operator="greaterThanOrEqual" dxfId="8" stopIfTrue="1">
      <formula>1</formula>
    </cfRule>
    <cfRule type="cellIs" priority="2" operator="greaterThanOrEqual" dxfId="9" stopIfTrue="1">
      <formula>0.8</formula>
    </cfRule>
    <cfRule type="cellIs" priority="3" operator="lessThan" dxfId="10" stopIfTrue="1">
      <formula>0.8</formula>
    </cfRule>
  </conditionalFormatting>
  <conditionalFormatting sqref="H12:H14">
    <cfRule type="cellIs" priority="4" operator="greaterThanOrEqual" dxfId="8" stopIfTrue="1">
      <formula>1</formula>
    </cfRule>
    <cfRule type="cellIs" priority="5" operator="greaterThanOrEqual" dxfId="9" stopIfTrue="1">
      <formula>0.8</formula>
    </cfRule>
    <cfRule type="cellIs" priority="6" operator="lessThan" dxfId="10" stopIfTrue="1">
      <formula>0.8</formula>
    </cfRule>
  </conditionalFormatting>
  <conditionalFormatting sqref="H18:I24">
    <cfRule type="cellIs" priority="7" operator="greaterThanOrEqual" dxfId="8" stopIfTrue="1">
      <formula>1</formula>
    </cfRule>
    <cfRule type="cellIs" priority="8" operator="greaterThanOrEqual" dxfId="9" stopIfTrue="1">
      <formula>0.8</formula>
    </cfRule>
    <cfRule type="cellIs" priority="9" operator="lessThan" dxfId="10" stopIfTrue="1">
      <formula>0.8</formula>
    </cfRule>
  </conditionalFormatting>
  <pageMargins left="0.79" right="0.79" top="0.79" bottom="0.79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2026-01-28T08:10:15Z</dcterms:created>
  <dcterms:modified xsi:type="dcterms:W3CDTF">2026-01-28T08:10:15Z</dcterms:modified>
</cp:coreProperties>
</file>